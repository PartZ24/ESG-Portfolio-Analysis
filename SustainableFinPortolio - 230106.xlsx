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stainable Finance\ESG Fund Factsheets\"/>
    </mc:Choice>
  </mc:AlternateContent>
  <xr:revisionPtr revIDLastSave="0" documentId="13_ncr:1_{1D2FD742-6C08-4682-9074-4DEF96D04353}" xr6:coauthVersionLast="47" xr6:coauthVersionMax="47" xr10:uidLastSave="{00000000-0000-0000-0000-000000000000}"/>
  <bookViews>
    <workbookView xWindow="-110" yWindow="-110" windowWidth="19420" windowHeight="10300" activeTab="2" xr2:uid="{BBB9F0D6-92BD-41C4-8378-65BF500557DE}"/>
  </bookViews>
  <sheets>
    <sheet name="Portfolio 1" sheetId="1" r:id="rId1"/>
    <sheet name="Portfolio 2" sheetId="5" r:id="rId2"/>
    <sheet name="Analysis" sheetId="3" r:id="rId3"/>
    <sheet name="ESG Scores" sheetId="7" r:id="rId4"/>
    <sheet name="Holding Weights &amp; other" sheetId="8" r:id="rId5"/>
  </sheets>
  <externalReferences>
    <externalReference r:id="rId6"/>
  </externalReferences>
  <definedNames>
    <definedName name="_xlnm._FilterDatabase" localSheetId="4" hidden="1">'Holding Weights &amp; other'!$A$13:$A$14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7" i="7"/>
  <c r="G17" i="7"/>
  <c r="Z16" i="5"/>
  <c r="Z15" i="5"/>
  <c r="Z14" i="5"/>
  <c r="Z13" i="5"/>
  <c r="Z12" i="5"/>
  <c r="Z11" i="5"/>
  <c r="Z10" i="5"/>
  <c r="Z8" i="5"/>
  <c r="Z7" i="5"/>
  <c r="Z6" i="5"/>
  <c r="U16" i="5"/>
  <c r="V16" i="5" s="1"/>
  <c r="U15" i="5"/>
  <c r="U14" i="5"/>
  <c r="Q53" i="5" s="1"/>
  <c r="U13" i="5"/>
  <c r="U12" i="5"/>
  <c r="U11" i="5"/>
  <c r="Q50" i="5" s="1"/>
  <c r="U10" i="5"/>
  <c r="U8" i="5"/>
  <c r="U7" i="5"/>
  <c r="Q46" i="5" s="1"/>
  <c r="U6" i="5"/>
  <c r="S6" i="5"/>
  <c r="S16" i="5"/>
  <c r="S15" i="5"/>
  <c r="S14" i="5"/>
  <c r="S13" i="5"/>
  <c r="T13" i="5" s="1"/>
  <c r="S12" i="5"/>
  <c r="S11" i="5"/>
  <c r="S10" i="5"/>
  <c r="T10" i="5" s="1"/>
  <c r="S8" i="5"/>
  <c r="S7" i="5"/>
  <c r="T7" i="5" s="1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35" i="5"/>
  <c r="N36" i="5"/>
  <c r="N37" i="5"/>
  <c r="S18" i="5" s="1"/>
  <c r="T18" i="5" s="1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35" i="5"/>
  <c r="M36" i="5"/>
  <c r="M37" i="5"/>
  <c r="M38" i="5"/>
  <c r="M39" i="5"/>
  <c r="M40" i="5"/>
  <c r="M41" i="5"/>
  <c r="U17" i="5" s="1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35" i="5"/>
  <c r="K36" i="5"/>
  <c r="K37" i="5"/>
  <c r="K38" i="5"/>
  <c r="K39" i="5"/>
  <c r="K40" i="5"/>
  <c r="K41" i="5"/>
  <c r="Y38" i="5" s="1"/>
  <c r="R102" i="5" s="1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35" i="5"/>
  <c r="G36" i="5"/>
  <c r="G37" i="5"/>
  <c r="G38" i="5"/>
  <c r="G39" i="5"/>
  <c r="G40" i="5"/>
  <c r="G41" i="5"/>
  <c r="G42" i="5"/>
  <c r="G43" i="5"/>
  <c r="V34" i="5" s="1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35" i="5"/>
  <c r="F36" i="5"/>
  <c r="F37" i="5"/>
  <c r="F38" i="5"/>
  <c r="F39" i="5"/>
  <c r="F40" i="5"/>
  <c r="F41" i="5"/>
  <c r="F42" i="5"/>
  <c r="U33" i="5" s="1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35" i="5"/>
  <c r="E57" i="5"/>
  <c r="E56" i="5"/>
  <c r="E55" i="5"/>
  <c r="E54" i="5"/>
  <c r="E53" i="5"/>
  <c r="T32" i="5" s="1"/>
  <c r="E52" i="5"/>
  <c r="E51" i="5"/>
  <c r="E50" i="5"/>
  <c r="Q49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R29" i="5" a="1"/>
  <c r="U29" i="5" s="1"/>
  <c r="R19" i="5"/>
  <c r="T16" i="5"/>
  <c r="V15" i="5"/>
  <c r="T15" i="5"/>
  <c r="V14" i="5"/>
  <c r="T14" i="5"/>
  <c r="V13" i="5"/>
  <c r="X13" i="5" s="1"/>
  <c r="Q52" i="5"/>
  <c r="V12" i="5"/>
  <c r="T12" i="5"/>
  <c r="T11" i="5"/>
  <c r="V10" i="5"/>
  <c r="V8" i="5"/>
  <c r="T8" i="5"/>
  <c r="V7" i="5"/>
  <c r="V6" i="5"/>
  <c r="X6" i="5" s="1"/>
  <c r="T6" i="5"/>
  <c r="L4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O47" i="1"/>
  <c r="N47" i="1"/>
  <c r="M47" i="1"/>
  <c r="K47" i="1"/>
  <c r="J47" i="1"/>
  <c r="I47" i="1"/>
  <c r="H47" i="1"/>
  <c r="G47" i="1"/>
  <c r="F47" i="1"/>
  <c r="E47" i="1"/>
  <c r="D47" i="1"/>
  <c r="C47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O35" i="1"/>
  <c r="N35" i="1"/>
  <c r="M35" i="1"/>
  <c r="L35" i="1"/>
  <c r="Z16" i="1" s="1"/>
  <c r="K35" i="1"/>
  <c r="J35" i="1"/>
  <c r="I35" i="1"/>
  <c r="H35" i="1"/>
  <c r="G35" i="1"/>
  <c r="F35" i="1"/>
  <c r="E35" i="1"/>
  <c r="D35" i="1"/>
  <c r="C35" i="1"/>
  <c r="R29" i="1" a="1"/>
  <c r="T29" i="1" s="1"/>
  <c r="R19" i="1"/>
  <c r="S6" i="1" l="1"/>
  <c r="T6" i="1" s="1"/>
  <c r="S12" i="1"/>
  <c r="T12" i="1" s="1"/>
  <c r="Z9" i="5"/>
  <c r="AA9" i="5" s="1"/>
  <c r="Z14" i="1"/>
  <c r="AA14" i="1" s="1"/>
  <c r="AB14" i="1" s="1"/>
  <c r="Z17" i="1"/>
  <c r="AA17" i="1" s="1"/>
  <c r="Z18" i="1"/>
  <c r="AA18" i="1" s="1"/>
  <c r="S7" i="1"/>
  <c r="T7" i="1" s="1"/>
  <c r="U8" i="1"/>
  <c r="Q47" i="1" s="1"/>
  <c r="S11" i="1"/>
  <c r="T11" i="1" s="1"/>
  <c r="Z13" i="1"/>
  <c r="AA13" i="1" s="1"/>
  <c r="AB13" i="1" s="1"/>
  <c r="S15" i="1"/>
  <c r="T15" i="1" s="1"/>
  <c r="U9" i="1"/>
  <c r="Q48" i="1" s="1"/>
  <c r="S10" i="1"/>
  <c r="T10" i="1" s="1"/>
  <c r="S18" i="1"/>
  <c r="S14" i="1"/>
  <c r="T14" i="1" s="1"/>
  <c r="Z7" i="1"/>
  <c r="Z6" i="1"/>
  <c r="S17" i="1"/>
  <c r="T17" i="1" s="1"/>
  <c r="S13" i="1"/>
  <c r="T13" i="1" s="1"/>
  <c r="U10" i="1"/>
  <c r="Q49" i="1" s="1"/>
  <c r="S9" i="5"/>
  <c r="T9" i="5" s="1"/>
  <c r="R22" i="5" s="1"/>
  <c r="U9" i="5"/>
  <c r="S8" i="1"/>
  <c r="T8" i="1" s="1"/>
  <c r="U7" i="1"/>
  <c r="Q46" i="1" s="1"/>
  <c r="Z8" i="1"/>
  <c r="AA8" i="1" s="1"/>
  <c r="S9" i="1"/>
  <c r="T9" i="1" s="1"/>
  <c r="Z9" i="1"/>
  <c r="Z10" i="1"/>
  <c r="U11" i="1"/>
  <c r="Q50" i="1" s="1"/>
  <c r="Z11" i="1"/>
  <c r="S16" i="1"/>
  <c r="T16" i="1" s="1"/>
  <c r="U12" i="1"/>
  <c r="Q51" i="1" s="1"/>
  <c r="Z12" i="1"/>
  <c r="AA12" i="1" s="1"/>
  <c r="AB12" i="1" s="1"/>
  <c r="U13" i="1"/>
  <c r="Q52" i="1" s="1"/>
  <c r="S32" i="5"/>
  <c r="R57" i="5" s="1"/>
  <c r="U14" i="1"/>
  <c r="Q53" i="1" s="1"/>
  <c r="T39" i="5"/>
  <c r="R73" i="5" s="1"/>
  <c r="U15" i="1"/>
  <c r="V15" i="1" s="1"/>
  <c r="Z15" i="1"/>
  <c r="U6" i="1"/>
  <c r="V6" i="1" s="1"/>
  <c r="X6" i="1" s="1"/>
  <c r="U16" i="1"/>
  <c r="Q55" i="1" s="1"/>
  <c r="V29" i="5"/>
  <c r="W29" i="5"/>
  <c r="X29" i="5"/>
  <c r="Y29" i="5"/>
  <c r="Z29" i="5"/>
  <c r="AA29" i="5"/>
  <c r="AB29" i="5"/>
  <c r="Z17" i="5"/>
  <c r="Z18" i="5"/>
  <c r="AA18" i="5" s="1"/>
  <c r="AB18" i="5" s="1"/>
  <c r="T40" i="5"/>
  <c r="R74" i="5" s="1"/>
  <c r="V39" i="5"/>
  <c r="R88" i="5" s="1"/>
  <c r="Z39" i="5"/>
  <c r="R106" i="5" s="1"/>
  <c r="W38" i="5"/>
  <c r="R93" i="5" s="1"/>
  <c r="Y37" i="5"/>
  <c r="W36" i="5"/>
  <c r="R91" i="5" s="1"/>
  <c r="R35" i="5"/>
  <c r="R50" i="5" s="1"/>
  <c r="W41" i="5"/>
  <c r="R96" i="5" s="1"/>
  <c r="V36" i="5"/>
  <c r="R85" i="5" s="1"/>
  <c r="S39" i="5"/>
  <c r="R64" i="5" s="1"/>
  <c r="S31" i="5"/>
  <c r="R38" i="5"/>
  <c r="R53" i="5" s="1"/>
  <c r="R33" i="5"/>
  <c r="R48" i="5" s="1"/>
  <c r="R32" i="5"/>
  <c r="R47" i="5" s="1"/>
  <c r="R30" i="5"/>
  <c r="AA15" i="1"/>
  <c r="X41" i="5"/>
  <c r="R101" i="5" s="1"/>
  <c r="T41" i="5"/>
  <c r="R75" i="5" s="1"/>
  <c r="Y41" i="5"/>
  <c r="R105" i="5" s="1"/>
  <c r="X15" i="5"/>
  <c r="W15" i="5"/>
  <c r="AA17" i="5"/>
  <c r="AA13" i="5"/>
  <c r="AA15" i="5"/>
  <c r="AB15" i="5" s="1"/>
  <c r="AA11" i="5"/>
  <c r="AB11" i="5" s="1"/>
  <c r="AA7" i="5"/>
  <c r="AB7" i="5" s="1"/>
  <c r="AA14" i="5"/>
  <c r="AB14" i="5" s="1"/>
  <c r="AA10" i="5"/>
  <c r="AB10" i="5" s="1"/>
  <c r="AA16" i="5"/>
  <c r="AA12" i="5"/>
  <c r="AB12" i="5" s="1"/>
  <c r="AA8" i="5"/>
  <c r="AB8" i="5" s="1"/>
  <c r="W16" i="5"/>
  <c r="X16" i="5"/>
  <c r="AB13" i="5"/>
  <c r="W8" i="5"/>
  <c r="X8" i="5"/>
  <c r="X10" i="5"/>
  <c r="W10" i="5"/>
  <c r="W12" i="5"/>
  <c r="X12" i="5"/>
  <c r="AB16" i="5"/>
  <c r="Q56" i="5"/>
  <c r="V17" i="5"/>
  <c r="X14" i="5"/>
  <c r="W14" i="5"/>
  <c r="X7" i="5"/>
  <c r="W7" i="5"/>
  <c r="U39" i="5"/>
  <c r="R81" i="5" s="1"/>
  <c r="V41" i="5"/>
  <c r="R90" i="5" s="1"/>
  <c r="T38" i="5"/>
  <c r="R72" i="5" s="1"/>
  <c r="U35" i="5"/>
  <c r="R77" i="5" s="1"/>
  <c r="T33" i="5"/>
  <c r="R67" i="5" s="1"/>
  <c r="V38" i="5"/>
  <c r="R87" i="5" s="1"/>
  <c r="Y40" i="5"/>
  <c r="R104" i="5" s="1"/>
  <c r="W35" i="5"/>
  <c r="R34" i="5"/>
  <c r="R49" i="5" s="1"/>
  <c r="S34" i="5"/>
  <c r="R59" i="5" s="1"/>
  <c r="V37" i="5"/>
  <c r="R86" i="5" s="1"/>
  <c r="T34" i="5"/>
  <c r="R68" i="5" s="1"/>
  <c r="S36" i="5"/>
  <c r="R61" i="5" s="1"/>
  <c r="W37" i="5"/>
  <c r="R92" i="5" s="1"/>
  <c r="Z38" i="5"/>
  <c r="AC41" i="5"/>
  <c r="Q51" i="5"/>
  <c r="Q55" i="5"/>
  <c r="U40" i="5"/>
  <c r="R82" i="5" s="1"/>
  <c r="S38" i="5"/>
  <c r="R63" i="5" s="1"/>
  <c r="V40" i="5"/>
  <c r="R89" i="5" s="1"/>
  <c r="T35" i="5"/>
  <c r="R69" i="5" s="1"/>
  <c r="R37" i="5"/>
  <c r="R52" i="5" s="1"/>
  <c r="V35" i="5"/>
  <c r="R84" i="5" s="1"/>
  <c r="X39" i="5"/>
  <c r="R99" i="5" s="1"/>
  <c r="Z41" i="5"/>
  <c r="R108" i="5" s="1"/>
  <c r="Q54" i="5"/>
  <c r="V11" i="5"/>
  <c r="X38" i="5"/>
  <c r="R98" i="5" s="1"/>
  <c r="AA40" i="5"/>
  <c r="R109" i="5" s="1"/>
  <c r="AA41" i="5"/>
  <c r="R110" i="5" s="1"/>
  <c r="AA39" i="5"/>
  <c r="AB41" i="5"/>
  <c r="R111" i="5" s="1"/>
  <c r="Q47" i="5"/>
  <c r="U18" i="5"/>
  <c r="R29" i="5"/>
  <c r="S17" i="5"/>
  <c r="T17" i="5" s="1"/>
  <c r="S29" i="5"/>
  <c r="R31" i="5"/>
  <c r="R46" i="5" s="1"/>
  <c r="U34" i="5"/>
  <c r="R76" i="5" s="1"/>
  <c r="T36" i="5"/>
  <c r="R70" i="5" s="1"/>
  <c r="X37" i="5"/>
  <c r="R97" i="5" s="1"/>
  <c r="R40" i="5"/>
  <c r="R55" i="5" s="1"/>
  <c r="R41" i="5"/>
  <c r="R56" i="5" s="1"/>
  <c r="W13" i="5"/>
  <c r="X36" i="5"/>
  <c r="W40" i="5"/>
  <c r="R95" i="5" s="1"/>
  <c r="U38" i="5"/>
  <c r="R80" i="5" s="1"/>
  <c r="S37" i="5"/>
  <c r="R62" i="5" s="1"/>
  <c r="T37" i="5"/>
  <c r="R71" i="5" s="1"/>
  <c r="U37" i="5"/>
  <c r="R79" i="5" s="1"/>
  <c r="R36" i="5"/>
  <c r="R51" i="5" s="1"/>
  <c r="T29" i="5"/>
  <c r="U36" i="5"/>
  <c r="R78" i="5" s="1"/>
  <c r="R39" i="5"/>
  <c r="R54" i="5" s="1"/>
  <c r="S40" i="5"/>
  <c r="R65" i="5" s="1"/>
  <c r="S41" i="5"/>
  <c r="R66" i="5" s="1"/>
  <c r="U41" i="5"/>
  <c r="R83" i="5" s="1"/>
  <c r="S35" i="5"/>
  <c r="R60" i="5" s="1"/>
  <c r="S33" i="5"/>
  <c r="R58" i="5" s="1"/>
  <c r="W39" i="5"/>
  <c r="R94" i="5" s="1"/>
  <c r="X40" i="5"/>
  <c r="R100" i="5" s="1"/>
  <c r="Y39" i="5"/>
  <c r="R103" i="5" s="1"/>
  <c r="Z40" i="5"/>
  <c r="R107" i="5" s="1"/>
  <c r="AC29" i="5"/>
  <c r="AB40" i="5"/>
  <c r="V35" i="1"/>
  <c r="R84" i="1" s="1"/>
  <c r="V12" i="1"/>
  <c r="W12" i="1" s="1"/>
  <c r="U17" i="1"/>
  <c r="Q56" i="1" s="1"/>
  <c r="V34" i="1"/>
  <c r="R32" i="1"/>
  <c r="R47" i="1" s="1"/>
  <c r="S37" i="1"/>
  <c r="R62" i="1" s="1"/>
  <c r="T33" i="1"/>
  <c r="R67" i="1" s="1"/>
  <c r="Y37" i="1"/>
  <c r="S40" i="1"/>
  <c r="R65" i="1" s="1"/>
  <c r="S41" i="1"/>
  <c r="R66" i="1" s="1"/>
  <c r="V38" i="1"/>
  <c r="R87" i="1" s="1"/>
  <c r="V8" i="1"/>
  <c r="V11" i="1"/>
  <c r="X11" i="1" s="1"/>
  <c r="U29" i="1"/>
  <c r="R30" i="1"/>
  <c r="T40" i="1"/>
  <c r="R74" i="1" s="1"/>
  <c r="U33" i="1"/>
  <c r="T41" i="1"/>
  <c r="R75" i="1" s="1"/>
  <c r="S31" i="1"/>
  <c r="U18" i="1"/>
  <c r="V18" i="1" s="1"/>
  <c r="W38" i="1"/>
  <c r="R93" i="1" s="1"/>
  <c r="Z38" i="1"/>
  <c r="Z29" i="1"/>
  <c r="AA9" i="1"/>
  <c r="AB9" i="1" s="1"/>
  <c r="T37" i="1"/>
  <c r="R71" i="1" s="1"/>
  <c r="U36" i="1"/>
  <c r="R78" i="1" s="1"/>
  <c r="U38" i="1"/>
  <c r="R80" i="1" s="1"/>
  <c r="V36" i="1"/>
  <c r="R85" i="1" s="1"/>
  <c r="Y41" i="1"/>
  <c r="R105" i="1" s="1"/>
  <c r="R39" i="1"/>
  <c r="R54" i="1" s="1"/>
  <c r="Y39" i="1"/>
  <c r="R103" i="1" s="1"/>
  <c r="Z39" i="1"/>
  <c r="R106" i="1" s="1"/>
  <c r="S39" i="1"/>
  <c r="R64" i="1" s="1"/>
  <c r="X15" i="1"/>
  <c r="V29" i="1"/>
  <c r="S32" i="1"/>
  <c r="R57" i="1" s="1"/>
  <c r="R35" i="1"/>
  <c r="R50" i="1" s="1"/>
  <c r="W36" i="1"/>
  <c r="R91" i="1" s="1"/>
  <c r="R38" i="1"/>
  <c r="R53" i="1" s="1"/>
  <c r="T39" i="1"/>
  <c r="R73" i="1" s="1"/>
  <c r="U40" i="1"/>
  <c r="R82" i="1" s="1"/>
  <c r="U41" i="1"/>
  <c r="R83" i="1" s="1"/>
  <c r="AA10" i="1"/>
  <c r="AB10" i="1" s="1"/>
  <c r="W29" i="1"/>
  <c r="T32" i="1"/>
  <c r="S35" i="1"/>
  <c r="R60" i="1" s="1"/>
  <c r="X36" i="1"/>
  <c r="S38" i="1"/>
  <c r="R63" i="1" s="1"/>
  <c r="U39" i="1"/>
  <c r="R81" i="1" s="1"/>
  <c r="V40" i="1"/>
  <c r="R89" i="1" s="1"/>
  <c r="V41" i="1"/>
  <c r="R90" i="1" s="1"/>
  <c r="V9" i="1"/>
  <c r="V13" i="1"/>
  <c r="X29" i="1"/>
  <c r="R33" i="1"/>
  <c r="R48" i="1" s="1"/>
  <c r="T35" i="1"/>
  <c r="R69" i="1" s="1"/>
  <c r="T38" i="1"/>
  <c r="R72" i="1" s="1"/>
  <c r="V39" i="1"/>
  <c r="R88" i="1" s="1"/>
  <c r="W40" i="1"/>
  <c r="R95" i="1" s="1"/>
  <c r="W41" i="1"/>
  <c r="R96" i="1" s="1"/>
  <c r="Y29" i="1"/>
  <c r="S33" i="1"/>
  <c r="R58" i="1" s="1"/>
  <c r="U35" i="1"/>
  <c r="R77" i="1" s="1"/>
  <c r="R37" i="1"/>
  <c r="R52" i="1" s="1"/>
  <c r="W39" i="1"/>
  <c r="R94" i="1" s="1"/>
  <c r="X40" i="1"/>
  <c r="R100" i="1" s="1"/>
  <c r="X41" i="1"/>
  <c r="R101" i="1" s="1"/>
  <c r="X39" i="1"/>
  <c r="R99" i="1" s="1"/>
  <c r="Y40" i="1"/>
  <c r="R104" i="1" s="1"/>
  <c r="AA29" i="1"/>
  <c r="W35" i="1"/>
  <c r="Z40" i="1"/>
  <c r="R107" i="1" s="1"/>
  <c r="Z41" i="1"/>
  <c r="R108" i="1" s="1"/>
  <c r="Q54" i="1"/>
  <c r="T18" i="1"/>
  <c r="AB29" i="1"/>
  <c r="R34" i="1"/>
  <c r="R49" i="1" s="1"/>
  <c r="U37" i="1"/>
  <c r="R79" i="1" s="1"/>
  <c r="X38" i="1"/>
  <c r="R98" i="1" s="1"/>
  <c r="AA40" i="1"/>
  <c r="R109" i="1" s="1"/>
  <c r="AA41" i="1"/>
  <c r="R110" i="1" s="1"/>
  <c r="AA16" i="1"/>
  <c r="AC29" i="1"/>
  <c r="S34" i="1"/>
  <c r="R59" i="1" s="1"/>
  <c r="R36" i="1"/>
  <c r="R51" i="1" s="1"/>
  <c r="V37" i="1"/>
  <c r="R86" i="1" s="1"/>
  <c r="Y38" i="1"/>
  <c r="R102" i="1" s="1"/>
  <c r="AA39" i="1"/>
  <c r="AB40" i="1"/>
  <c r="AB41" i="1"/>
  <c r="R111" i="1" s="1"/>
  <c r="R29" i="1"/>
  <c r="T34" i="1"/>
  <c r="R68" i="1" s="1"/>
  <c r="S36" i="1"/>
  <c r="R61" i="1" s="1"/>
  <c r="W37" i="1"/>
  <c r="R92" i="1" s="1"/>
  <c r="AC41" i="1"/>
  <c r="S29" i="1"/>
  <c r="R31" i="1"/>
  <c r="R46" i="1" s="1"/>
  <c r="U34" i="1"/>
  <c r="R76" i="1" s="1"/>
  <c r="T36" i="1"/>
  <c r="R70" i="1" s="1"/>
  <c r="X37" i="1"/>
  <c r="R97" i="1" s="1"/>
  <c r="R40" i="1"/>
  <c r="R55" i="1" s="1"/>
  <c r="R41" i="1"/>
  <c r="R56" i="1" s="1"/>
  <c r="AA7" i="1"/>
  <c r="AB7" i="1" s="1"/>
  <c r="AA11" i="1"/>
  <c r="AB11" i="1" s="1"/>
  <c r="AB16" i="1" l="1"/>
  <c r="W15" i="1"/>
  <c r="W8" i="1"/>
  <c r="AB15" i="1"/>
  <c r="V16" i="1"/>
  <c r="AB8" i="1"/>
  <c r="V7" i="1"/>
  <c r="X7" i="1" s="1"/>
  <c r="V9" i="5"/>
  <c r="Q48" i="5"/>
  <c r="V14" i="1"/>
  <c r="W14" i="1" s="1"/>
  <c r="V10" i="1"/>
  <c r="W10" i="1" s="1"/>
  <c r="AB9" i="5"/>
  <c r="X12" i="1"/>
  <c r="R23" i="5"/>
  <c r="R25" i="5" s="1"/>
  <c r="AB17" i="5"/>
  <c r="Q57" i="5"/>
  <c r="V18" i="5"/>
  <c r="X11" i="5"/>
  <c r="W11" i="5"/>
  <c r="X17" i="5"/>
  <c r="W17" i="5"/>
  <c r="R112" i="5"/>
  <c r="V17" i="1"/>
  <c r="W17" i="1" s="1"/>
  <c r="AB17" i="1"/>
  <c r="AB18" i="1"/>
  <c r="W11" i="1"/>
  <c r="Q57" i="1"/>
  <c r="Q58" i="1"/>
  <c r="R23" i="1"/>
  <c r="R25" i="1" s="1"/>
  <c r="X8" i="1"/>
  <c r="W18" i="1"/>
  <c r="X18" i="1"/>
  <c r="X9" i="1"/>
  <c r="W9" i="1"/>
  <c r="X13" i="1"/>
  <c r="W13" i="1"/>
  <c r="R112" i="1"/>
  <c r="W16" i="1"/>
  <c r="X16" i="1"/>
  <c r="R22" i="1"/>
  <c r="X17" i="1" l="1"/>
  <c r="X10" i="1"/>
  <c r="W7" i="1"/>
  <c r="X14" i="1"/>
  <c r="Q58" i="5"/>
  <c r="X9" i="5"/>
  <c r="W9" i="5"/>
  <c r="U45" i="5"/>
  <c r="U46" i="5" s="1"/>
  <c r="U47" i="5" s="1"/>
  <c r="X18" i="5"/>
  <c r="W18" i="5"/>
  <c r="U45" i="1"/>
  <c r="U46" i="1" s="1"/>
  <c r="U47" i="1" s="1"/>
</calcChain>
</file>

<file path=xl/sharedStrings.xml><?xml version="1.0" encoding="utf-8"?>
<sst xmlns="http://schemas.openxmlformats.org/spreadsheetml/2006/main" count="471" uniqueCount="178">
  <si>
    <t>Portfolio 2 - Only ESG Stocks</t>
  </si>
  <si>
    <t>Date</t>
  </si>
  <si>
    <t>Tata Consultancy Services Ltd.</t>
  </si>
  <si>
    <t>Bharat Forge Ltd</t>
  </si>
  <si>
    <t>Tata Motors Ltd</t>
  </si>
  <si>
    <t>Tata Consumer Products Ltd</t>
  </si>
  <si>
    <t>Siemens Ltd</t>
  </si>
  <si>
    <t>JSW Steel Ltd</t>
  </si>
  <si>
    <t>Infosys Ltd</t>
  </si>
  <si>
    <t>ICICI Bank Ltd</t>
  </si>
  <si>
    <t>Bajaj Finserv Ltd</t>
  </si>
  <si>
    <t>Ashok Leyland Ltd.</t>
  </si>
  <si>
    <t>ITC Ltd </t>
  </si>
  <si>
    <t>Nifty-50</t>
  </si>
  <si>
    <t xml:space="preserve"> Name of the Security </t>
  </si>
  <si>
    <t>Weights</t>
  </si>
  <si>
    <t>Returns (Monthly)</t>
  </si>
  <si>
    <t>Annualized returns</t>
  </si>
  <si>
    <t xml:space="preserve">Variance </t>
  </si>
  <si>
    <t>S.D</t>
  </si>
  <si>
    <t xml:space="preserve">Co-efficient of Variance </t>
  </si>
  <si>
    <t>Annualized  S.D</t>
  </si>
  <si>
    <t>-</t>
  </si>
  <si>
    <t xml:space="preserve"> </t>
  </si>
  <si>
    <t>Portfolio Return (Annual)</t>
  </si>
  <si>
    <t>Portfolio Beta</t>
  </si>
  <si>
    <t xml:space="preserve">Variance- Co-variance Matrix </t>
  </si>
  <si>
    <t>Weights^2 (x)  Variance</t>
  </si>
  <si>
    <t xml:space="preserve"> Co-variance</t>
  </si>
  <si>
    <t>Portfolio Variance</t>
  </si>
  <si>
    <t>Portfolio Risk (SD)</t>
  </si>
  <si>
    <t>Annualized  (SD)</t>
  </si>
  <si>
    <t>Portfolio 1 - Sin Stock + Some ESG</t>
  </si>
  <si>
    <t xml:space="preserve">Expected return on portfolio E(Rp) </t>
  </si>
  <si>
    <t xml:space="preserve">Risk free rate (Rf) </t>
  </si>
  <si>
    <t>BETA</t>
  </si>
  <si>
    <t>Expected return (CAPM)</t>
  </si>
  <si>
    <t>Alpha</t>
  </si>
  <si>
    <t>SOM Distilleries &amp; Breweries ltd</t>
  </si>
  <si>
    <t>Varun Beverages Ltd </t>
  </si>
  <si>
    <t>Reliance Industries ltd</t>
  </si>
  <si>
    <t>HCL Technologies</t>
  </si>
  <si>
    <t>Q)Do you think investors should choose ESG based stocks ?</t>
  </si>
  <si>
    <t>Sources: Investing.com,YahooFinance &amp; ESG investing by CFA institute.</t>
  </si>
  <si>
    <r>
      <t xml:space="preserve">3.) In the future more ESG regulations will be imposed causing the valuation of companies to change significantly, hence it is better to invest and grab the opportunity cost for </t>
    </r>
    <r>
      <rPr>
        <b/>
        <sz val="11"/>
        <color theme="1"/>
        <rFont val="Aptos Narrow"/>
        <family val="2"/>
        <scheme val="minor"/>
      </rPr>
      <t>ESG complaint firms.</t>
    </r>
  </si>
  <si>
    <r>
      <t xml:space="preserve"> 2.) The portfolio risk  is </t>
    </r>
    <r>
      <rPr>
        <b/>
        <sz val="11"/>
        <color theme="1"/>
        <rFont val="Aptos Narrow"/>
        <family val="2"/>
        <scheme val="minor"/>
      </rPr>
      <t>3.8</t>
    </r>
    <r>
      <rPr>
        <sz val="11"/>
        <color theme="1"/>
        <rFont val="Aptos Narrow"/>
        <family val="2"/>
        <scheme val="minor"/>
      </rPr>
      <t xml:space="preserve"> for Portfolio 1 &amp; </t>
    </r>
    <r>
      <rPr>
        <b/>
        <sz val="11"/>
        <color theme="1"/>
        <rFont val="Aptos Narrow"/>
        <family val="2"/>
        <scheme val="minor"/>
      </rPr>
      <t xml:space="preserve">3.70 </t>
    </r>
    <r>
      <rPr>
        <sz val="11"/>
        <color theme="1"/>
        <rFont val="Aptos Narrow"/>
        <family val="2"/>
        <scheme val="minor"/>
      </rPr>
      <t xml:space="preserve">for Portfolio 2 which indicates a lower risk factor for ESG stock portfolio.                          </t>
    </r>
  </si>
  <si>
    <t>Low</t>
  </si>
  <si>
    <t>AA</t>
  </si>
  <si>
    <t xml:space="preserve"> Go Fashion (India) Limited</t>
  </si>
  <si>
    <t>BB</t>
  </si>
  <si>
    <t xml:space="preserve"> Samvardhana Motherson International </t>
  </si>
  <si>
    <t>BBB</t>
  </si>
  <si>
    <t xml:space="preserve"> Titan Company Limited Consumer </t>
  </si>
  <si>
    <t>A</t>
  </si>
  <si>
    <t xml:space="preserve"> LTIMindtree Limited IT </t>
  </si>
  <si>
    <t xml:space="preserve"> ICICI Prudential Life Insurance </t>
  </si>
  <si>
    <t xml:space="preserve"> Craftsman Automation Limited Auto </t>
  </si>
  <si>
    <t xml:space="preserve"> Symphony Limited Consumer </t>
  </si>
  <si>
    <t xml:space="preserve"> SBI Life Insurance Company Limited Insurance </t>
  </si>
  <si>
    <t xml:space="preserve"> Tata Consumer Products Limited Agricultural Food </t>
  </si>
  <si>
    <t xml:space="preserve"> Info Edge (India) Limited Retailing </t>
  </si>
  <si>
    <t xml:space="preserve"> Hindustan Unilever Limited Diversified </t>
  </si>
  <si>
    <t>Mediocre</t>
  </si>
  <si>
    <t>B</t>
  </si>
  <si>
    <t xml:space="preserve"> UltraTech Cement Limited Cement &amp; </t>
  </si>
  <si>
    <t xml:space="preserve"> Kotak Mahindra Bank Limited Banks </t>
  </si>
  <si>
    <t xml:space="preserve"> Dabur India Limited Personal </t>
  </si>
  <si>
    <t xml:space="preserve"> Mahindra &amp; Mahindra Limited Automobiles </t>
  </si>
  <si>
    <t xml:space="preserve"> Varun Beverages Limited Beverages </t>
  </si>
  <si>
    <t xml:space="preserve"> Colgate Palmolive (India) Limited Personal </t>
  </si>
  <si>
    <t xml:space="preserve"> Inox Green Energy Services Ltd.  </t>
  </si>
  <si>
    <t xml:space="preserve"> State Bank of India</t>
  </si>
  <si>
    <t xml:space="preserve"> FDC Ltd.  </t>
  </si>
  <si>
    <t xml:space="preserve"> Sun Pharmaceutical Industries Limited Pharmaceuticals </t>
  </si>
  <si>
    <t xml:space="preserve"> Advanced Enzyme Technologies Ltd. </t>
  </si>
  <si>
    <t xml:space="preserve"> ABB India Limited Electrical </t>
  </si>
  <si>
    <t xml:space="preserve">  Sun Pharmaceutical Industries Ltd. </t>
  </si>
  <si>
    <t xml:space="preserve"> Tata Motors Limited Automobiles </t>
  </si>
  <si>
    <t xml:space="preserve"> Reliance Industries Ltd. </t>
  </si>
  <si>
    <t xml:space="preserve"> Tata Power Company Limited Power </t>
  </si>
  <si>
    <t xml:space="preserve">  HCL Technologies Ltd.  </t>
  </si>
  <si>
    <t xml:space="preserve"> TVS Motor Company Limited Automobiles </t>
  </si>
  <si>
    <t xml:space="preserve">  Infosys Ltd.  </t>
  </si>
  <si>
    <t xml:space="preserve"> Power Grid Corporation of India Limited Power </t>
  </si>
  <si>
    <t xml:space="preserve"> ICICI Lombard General Insurance Company </t>
  </si>
  <si>
    <t xml:space="preserve"> Cipla Limited Pharmaceuticals </t>
  </si>
  <si>
    <t xml:space="preserve"> SBI Life Insurance Company Ltd.</t>
  </si>
  <si>
    <t xml:space="preserve"> Wipro Limited IT </t>
  </si>
  <si>
    <t xml:space="preserve"> Britannia Industries Ltd.  </t>
  </si>
  <si>
    <t xml:space="preserve"> Tech Mahindra Limited IT </t>
  </si>
  <si>
    <t>CCC</t>
  </si>
  <si>
    <t xml:space="preserve"> Tata Steel Ltd.  </t>
  </si>
  <si>
    <t xml:space="preserve"> The Federal Bank Limited Banks </t>
  </si>
  <si>
    <t xml:space="preserve"> Nazara technologies Ltd  </t>
  </si>
  <si>
    <t xml:space="preserve"> Larsen &amp; Toubro Limited Construction</t>
  </si>
  <si>
    <t xml:space="preserve"> Inox Wind Ltd.  </t>
  </si>
  <si>
    <t xml:space="preserve"> Trent Limited Retailing </t>
  </si>
  <si>
    <t xml:space="preserve"> V-Guard Industries Ltd. </t>
  </si>
  <si>
    <t xml:space="preserve"> Cholamandalam Investment and Finance </t>
  </si>
  <si>
    <t xml:space="preserve"> Ambuja Cements Ltd. </t>
  </si>
  <si>
    <t xml:space="preserve"> HCL Technologies Limited IT </t>
  </si>
  <si>
    <t xml:space="preserve"> Kotak Mahindra Bank Ltd.  </t>
  </si>
  <si>
    <t xml:space="preserve"> Tata Consultancy Services Limited IT </t>
  </si>
  <si>
    <t xml:space="preserve"> State Bank Of India  </t>
  </si>
  <si>
    <t xml:space="preserve"> InterGlobe Aviation Limited Transport </t>
  </si>
  <si>
    <t xml:space="preserve"> Union Bank Of India  </t>
  </si>
  <si>
    <t xml:space="preserve"> Infosys Limited IT </t>
  </si>
  <si>
    <t xml:space="preserve"> Axis Bank Ltd.  </t>
  </si>
  <si>
    <t xml:space="preserve"> Zomato Limited </t>
  </si>
  <si>
    <t xml:space="preserve">  ICICI Bank Ltd.  </t>
  </si>
  <si>
    <t xml:space="preserve"> Bajaj Finance Limited Finance </t>
  </si>
  <si>
    <t xml:space="preserve"> HDFC Bank Ltd.</t>
  </si>
  <si>
    <t xml:space="preserve"> Bharti Airtel Limited </t>
  </si>
  <si>
    <t xml:space="preserve"> Eicher Motors Ltd.  </t>
  </si>
  <si>
    <t xml:space="preserve"> ICICI Bank Limited </t>
  </si>
  <si>
    <t xml:space="preserve"> TVS Motor Company Ltd. </t>
  </si>
  <si>
    <t xml:space="preserve"> HDFC Bank Limited </t>
  </si>
  <si>
    <t>Maruti Suzuki India Ltd.</t>
  </si>
  <si>
    <r>
      <t xml:space="preserve">Sources: </t>
    </r>
    <r>
      <rPr>
        <b/>
        <sz val="11"/>
        <color theme="1"/>
        <rFont val="Aptos Narrow"/>
        <family val="2"/>
        <scheme val="minor"/>
      </rPr>
      <t>MSCI.com, Sustainanalytics &amp; MF Factsheets</t>
    </r>
  </si>
  <si>
    <t>Controversy</t>
  </si>
  <si>
    <t>ESG Score</t>
  </si>
  <si>
    <t xml:space="preserve">Company </t>
  </si>
  <si>
    <t>AXIS ESG FUND</t>
  </si>
  <si>
    <t>ICICI ESG FUND</t>
  </si>
  <si>
    <t>Based on normalized ESG scores</t>
  </si>
  <si>
    <t>ESG scores embedded in analysis</t>
  </si>
  <si>
    <t>Manual screening + ESG rating filters</t>
  </si>
  <si>
    <t>Selection Method</t>
  </si>
  <si>
    <t>Included</t>
  </si>
  <si>
    <t>Likely excluded or underweighted</t>
  </si>
  <si>
    <t>Reliance Industries</t>
  </si>
  <si>
    <t>Included with adjusted weight</t>
  </si>
  <si>
    <t>Moderate</t>
  </si>
  <si>
    <t>Very low or excluded</t>
  </si>
  <si>
    <t>Fossil Fuel Exposure</t>
  </si>
  <si>
    <r>
      <t>ESG-</t>
    </r>
    <r>
      <rPr>
        <b/>
        <sz val="11"/>
        <color theme="1"/>
        <rFont val="Aptos Narrow"/>
        <family val="2"/>
        <scheme val="minor"/>
      </rPr>
      <t>Tilted</t>
    </r>
    <r>
      <rPr>
        <sz val="11"/>
        <color theme="1"/>
        <rFont val="Aptos Narrow"/>
        <family val="2"/>
        <scheme val="minor"/>
      </rPr>
      <t xml:space="preserve"> index (score-weighted)</t>
    </r>
  </si>
  <si>
    <r>
      <t xml:space="preserve">ESG </t>
    </r>
    <r>
      <rPr>
        <b/>
        <sz val="11"/>
        <color theme="1"/>
        <rFont val="Aptos Narrow"/>
        <family val="2"/>
        <scheme val="minor"/>
      </rPr>
      <t>Integration</t>
    </r>
  </si>
  <si>
    <r>
      <t xml:space="preserve">ESG </t>
    </r>
    <r>
      <rPr>
        <b/>
        <sz val="11"/>
        <color theme="1"/>
        <rFont val="Aptos Narrow"/>
        <family val="2"/>
        <scheme val="minor"/>
      </rPr>
      <t>Exclusionary</t>
    </r>
  </si>
  <si>
    <t>Fund Type</t>
  </si>
  <si>
    <t>Nifty 100 ESG Index</t>
  </si>
  <si>
    <t>ICICI ESG Fund</t>
  </si>
  <si>
    <t>Axis ESG Fund</t>
  </si>
  <si>
    <t>Aspect</t>
  </si>
  <si>
    <t>Generally underweight unless ESG-strong</t>
  </si>
  <si>
    <t>&lt; 4% individually</t>
  </si>
  <si>
    <t>Power, Telecom, Metals, Others</t>
  </si>
  <si>
    <t>Lower in Axis ESG (likely excluded Reliance)</t>
  </si>
  <si>
    <t>Oil, Gas &amp; Consumables Fuels</t>
  </si>
  <si>
    <t>Similar – often Cipla, Dr. Reddy’s</t>
  </si>
  <si>
    <t>Healthcare</t>
  </si>
  <si>
    <t>Consumer focus – includes HUL, Nestle</t>
  </si>
  <si>
    <t>FMCG</t>
  </si>
  <si>
    <t>Similar (~10–12%) – TCS, Infosys, HCL Tech</t>
  </si>
  <si>
    <t>Information Technology</t>
  </si>
  <si>
    <t>Moderate weight (~7–10%), often Tata Motors</t>
  </si>
  <si>
    <t>Automobile &amp; Auto Components</t>
  </si>
  <si>
    <t>Heavily weighted (~30–35%)</t>
  </si>
  <si>
    <t>Financial Services</t>
  </si>
  <si>
    <t>Common Trend (Axis &amp; ICICI)</t>
  </si>
  <si>
    <t>Nifty 100 ESG (%)</t>
  </si>
  <si>
    <t>Sector</t>
  </si>
  <si>
    <t>Sectoral Weightage Comparison</t>
  </si>
  <si>
    <t>❌ = Likely excluded or has lower weight due to ESG or controversy score</t>
  </si>
  <si>
    <t>✅ = Present in Top Holdings</t>
  </si>
  <si>
    <t>✅</t>
  </si>
  <si>
    <t>❌ (low or none due to controversies)</t>
  </si>
  <si>
    <t>Reliance Industries Ltd.</t>
  </si>
  <si>
    <t>Larsen &amp; Toubro Ltd.</t>
  </si>
  <si>
    <t>Tata Consultancy Services</t>
  </si>
  <si>
    <t>Tata Motors Ltd.</t>
  </si>
  <si>
    <t>Bajaj Finance Ltd.</t>
  </si>
  <si>
    <t>HCL Technologies Ltd.</t>
  </si>
  <si>
    <t>Axis Bank Ltd.</t>
  </si>
  <si>
    <t>Bharti Airtel Ltd.</t>
  </si>
  <si>
    <t>ICICI Bank Ltd.</t>
  </si>
  <si>
    <t>HDFC Bank Ltd.</t>
  </si>
  <si>
    <t>Company Name</t>
  </si>
  <si>
    <r>
      <t xml:space="preserve">ANS -                                                                                                                                               1.) After comparing the 2 portfolio returns , I can confidently say that </t>
    </r>
    <r>
      <rPr>
        <b/>
        <sz val="11"/>
        <color theme="1"/>
        <rFont val="Aptos Narrow"/>
        <family val="2"/>
        <scheme val="minor"/>
      </rPr>
      <t xml:space="preserve">Yes investors should choose ESG based stocks, </t>
    </r>
    <r>
      <rPr>
        <sz val="11"/>
        <color theme="1"/>
        <rFont val="Aptos Narrow"/>
        <family val="2"/>
        <scheme val="minor"/>
      </rPr>
      <t xml:space="preserve">even tho the Portfolio annualised returns of Sin stocks are higher approx </t>
    </r>
    <r>
      <rPr>
        <b/>
        <sz val="11"/>
        <color theme="1"/>
        <rFont val="Aptos Narrow"/>
        <family val="2"/>
        <scheme val="minor"/>
      </rPr>
      <t>25.2%</t>
    </r>
    <r>
      <rPr>
        <sz val="11"/>
        <color theme="1"/>
        <rFont val="Aptos Narrow"/>
        <family val="2"/>
        <scheme val="minor"/>
      </rPr>
      <t>, the ESG stock are providing stable returns of</t>
    </r>
    <r>
      <rPr>
        <b/>
        <sz val="11"/>
        <color theme="1"/>
        <rFont val="Aptos Narrow"/>
        <family val="2"/>
        <scheme val="minor"/>
      </rPr>
      <t xml:space="preserve"> 22.83%.                                                                </t>
    </r>
    <r>
      <rPr>
        <sz val="11"/>
        <color theme="1"/>
        <rFont val="Aptos Narrow"/>
        <family val="2"/>
        <scheme val="minor"/>
      </rPr>
      <t xml:space="preserve">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</si>
</sst>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%"/>
    <numFmt numFmtId="165" formatCode="0.000"/>
    <numFmt numFmtId="166" formatCode="0E+00"/>
    <numFmt numFmtId="167" formatCode="0.00000000"/>
    <numFmt numFmtId="168" formatCode="0.000000000"/>
    <numFmt numFmtId="169" formatCode="0.0000%"/>
    <numFmt numFmtId="170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2"/>
      <color rgb="FF232526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3" borderId="5" xfId="0" applyFont="1" applyFill="1" applyBorder="1"/>
    <xf numFmtId="0" fontId="3" fillId="3" borderId="5" xfId="0" applyFont="1" applyFill="1" applyBorder="1" applyAlignment="1">
      <alignment horizontal="right"/>
    </xf>
    <xf numFmtId="164" fontId="3" fillId="3" borderId="5" xfId="1" applyNumberFormat="1" applyFont="1" applyFill="1" applyBorder="1" applyAlignment="1">
      <alignment horizontal="right"/>
    </xf>
    <xf numFmtId="10" fontId="3" fillId="0" borderId="4" xfId="0" applyNumberFormat="1" applyFont="1" applyBorder="1"/>
    <xf numFmtId="164" fontId="3" fillId="0" borderId="4" xfId="1" applyNumberFormat="1" applyFont="1" applyBorder="1" applyAlignment="1">
      <alignment horizontal="right"/>
    </xf>
    <xf numFmtId="164" fontId="3" fillId="2" borderId="4" xfId="1" applyNumberFormat="1" applyFont="1" applyFill="1" applyBorder="1" applyAlignment="1">
      <alignment horizontal="right"/>
    </xf>
    <xf numFmtId="2" fontId="3" fillId="2" borderId="4" xfId="1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10" fontId="3" fillId="0" borderId="6" xfId="0" applyNumberFormat="1" applyFont="1" applyBorder="1"/>
    <xf numFmtId="164" fontId="3" fillId="0" borderId="6" xfId="1" applyNumberFormat="1" applyFont="1" applyBorder="1" applyAlignment="1">
      <alignment horizontal="right"/>
    </xf>
    <xf numFmtId="164" fontId="3" fillId="2" borderId="6" xfId="1" applyNumberFormat="1" applyFont="1" applyFill="1" applyBorder="1" applyAlignment="1">
      <alignment horizontal="right"/>
    </xf>
    <xf numFmtId="2" fontId="3" fillId="2" borderId="6" xfId="1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0" fontId="3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166" fontId="3" fillId="2" borderId="0" xfId="0" applyNumberFormat="1" applyFont="1" applyFill="1"/>
    <xf numFmtId="167" fontId="3" fillId="2" borderId="0" xfId="0" applyNumberFormat="1" applyFont="1" applyFill="1" applyAlignment="1">
      <alignment horizontal="center"/>
    </xf>
    <xf numFmtId="10" fontId="3" fillId="0" borderId="8" xfId="0" applyNumberFormat="1" applyFont="1" applyBorder="1"/>
    <xf numFmtId="164" fontId="3" fillId="0" borderId="6" xfId="1" applyNumberFormat="1" applyFont="1" applyBorder="1"/>
    <xf numFmtId="10" fontId="7" fillId="0" borderId="5" xfId="0" applyNumberFormat="1" applyFont="1" applyBorder="1"/>
    <xf numFmtId="166" fontId="8" fillId="2" borderId="0" xfId="0" applyNumberFormat="1" applyFont="1" applyFill="1" applyAlignment="1">
      <alignment horizontal="left"/>
    </xf>
    <xf numFmtId="166" fontId="3" fillId="2" borderId="0" xfId="0" applyNumberFormat="1" applyFont="1" applyFill="1" applyAlignment="1">
      <alignment horizontal="center"/>
    </xf>
    <xf numFmtId="165" fontId="3" fillId="0" borderId="4" xfId="0" applyNumberFormat="1" applyFont="1" applyBorder="1" applyAlignment="1">
      <alignment horizontal="right"/>
    </xf>
    <xf numFmtId="164" fontId="3" fillId="0" borderId="8" xfId="1" applyNumberFormat="1" applyFont="1" applyBorder="1" applyAlignment="1">
      <alignment horizontal="right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2" fontId="3" fillId="2" borderId="0" xfId="0" applyNumberFormat="1" applyFont="1" applyFill="1"/>
    <xf numFmtId="14" fontId="7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168" fontId="3" fillId="2" borderId="0" xfId="1" applyNumberFormat="1" applyFont="1" applyFill="1" applyBorder="1" applyAlignment="1">
      <alignment horizontal="left"/>
    </xf>
    <xf numFmtId="10" fontId="3" fillId="0" borderId="0" xfId="1" applyNumberFormat="1" applyFont="1" applyBorder="1" applyAlignment="1">
      <alignment horizontal="right"/>
    </xf>
    <xf numFmtId="0" fontId="3" fillId="2" borderId="6" xfId="1" applyNumberFormat="1" applyFont="1" applyFill="1" applyBorder="1" applyAlignment="1">
      <alignment horizontal="right"/>
    </xf>
    <xf numFmtId="168" fontId="3" fillId="2" borderId="0" xfId="0" applyNumberFormat="1" applyFont="1" applyFill="1"/>
    <xf numFmtId="168" fontId="3" fillId="2" borderId="0" xfId="1" applyNumberFormat="1" applyFont="1" applyFill="1" applyBorder="1" applyAlignment="1"/>
    <xf numFmtId="0" fontId="3" fillId="2" borderId="6" xfId="0" applyFont="1" applyFill="1" applyBorder="1"/>
    <xf numFmtId="10" fontId="8" fillId="2" borderId="0" xfId="1" applyNumberFormat="1" applyFont="1" applyFill="1" applyBorder="1" applyAlignment="1">
      <alignment horizontal="left"/>
    </xf>
    <xf numFmtId="0" fontId="3" fillId="0" borderId="6" xfId="0" applyFont="1" applyBorder="1"/>
    <xf numFmtId="10" fontId="7" fillId="2" borderId="0" xfId="1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4" xfId="0" applyFont="1" applyFill="1" applyBorder="1"/>
    <xf numFmtId="0" fontId="3" fillId="0" borderId="6" xfId="0" applyFont="1" applyBorder="1" applyAlignment="1">
      <alignment horizontal="left"/>
    </xf>
    <xf numFmtId="0" fontId="8" fillId="2" borderId="0" xfId="0" applyFont="1" applyFill="1" applyAlignment="1">
      <alignment horizontal="left" wrapText="1"/>
    </xf>
    <xf numFmtId="10" fontId="7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170" fontId="7" fillId="2" borderId="0" xfId="1" applyNumberFormat="1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0" fillId="2" borderId="0" xfId="0" applyFont="1" applyFill="1"/>
    <xf numFmtId="0" fontId="10" fillId="2" borderId="0" xfId="0" applyFont="1" applyFill="1" applyAlignment="1">
      <alignment vertical="top"/>
    </xf>
    <xf numFmtId="0" fontId="11" fillId="0" borderId="10" xfId="0" applyFont="1" applyBorder="1" applyAlignment="1">
      <alignment vertical="top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right"/>
    </xf>
    <xf numFmtId="0" fontId="6" fillId="5" borderId="5" xfId="0" applyFont="1" applyFill="1" applyBorder="1" applyAlignment="1">
      <alignment horizontal="left"/>
    </xf>
    <xf numFmtId="164" fontId="9" fillId="5" borderId="5" xfId="1" applyNumberFormat="1" applyFont="1" applyFill="1" applyBorder="1" applyAlignment="1">
      <alignment horizontal="right"/>
    </xf>
    <xf numFmtId="0" fontId="8" fillId="5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right"/>
    </xf>
    <xf numFmtId="0" fontId="6" fillId="5" borderId="0" xfId="0" applyFont="1" applyFill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left"/>
    </xf>
    <xf numFmtId="0" fontId="7" fillId="2" borderId="7" xfId="0" applyFont="1" applyFill="1" applyBorder="1"/>
    <xf numFmtId="0" fontId="7" fillId="2" borderId="2" xfId="0" applyFont="1" applyFill="1" applyBorder="1" applyAlignment="1">
      <alignment horizontal="right" wrapText="1"/>
    </xf>
    <xf numFmtId="165" fontId="3" fillId="3" borderId="9" xfId="0" applyNumberFormat="1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165" fontId="3" fillId="2" borderId="9" xfId="0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/>
    </xf>
    <xf numFmtId="0" fontId="6" fillId="7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right"/>
    </xf>
    <xf numFmtId="14" fontId="3" fillId="0" borderId="9" xfId="0" applyNumberFormat="1" applyFont="1" applyBorder="1" applyAlignment="1">
      <alignment horizontal="left"/>
    </xf>
    <xf numFmtId="4" fontId="3" fillId="0" borderId="9" xfId="0" applyNumberFormat="1" applyFont="1" applyBorder="1" applyAlignment="1">
      <alignment horizontal="right"/>
    </xf>
    <xf numFmtId="4" fontId="3" fillId="2" borderId="9" xfId="0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right"/>
    </xf>
    <xf numFmtId="10" fontId="3" fillId="0" borderId="9" xfId="1" applyNumberFormat="1" applyFont="1" applyBorder="1" applyAlignment="1">
      <alignment horizontal="right"/>
    </xf>
    <xf numFmtId="0" fontId="7" fillId="4" borderId="5" xfId="0" applyFont="1" applyFill="1" applyBorder="1" applyAlignment="1">
      <alignment horizontal="left"/>
    </xf>
    <xf numFmtId="0" fontId="7" fillId="4" borderId="5" xfId="0" applyFont="1" applyFill="1" applyBorder="1"/>
    <xf numFmtId="0" fontId="7" fillId="4" borderId="4" xfId="0" applyFont="1" applyFill="1" applyBorder="1"/>
    <xf numFmtId="0" fontId="7" fillId="4" borderId="4" xfId="1" applyNumberFormat="1" applyFont="1" applyFill="1" applyBorder="1" applyAlignment="1">
      <alignment horizontal="right"/>
    </xf>
    <xf numFmtId="0" fontId="7" fillId="5" borderId="11" xfId="0" applyFont="1" applyFill="1" applyBorder="1" applyAlignment="1">
      <alignment horizontal="left"/>
    </xf>
    <xf numFmtId="169" fontId="7" fillId="5" borderId="12" xfId="1" applyNumberFormat="1" applyFont="1" applyFill="1" applyBorder="1" applyAlignment="1">
      <alignment horizontal="right"/>
    </xf>
    <xf numFmtId="0" fontId="7" fillId="2" borderId="13" xfId="0" applyFont="1" applyFill="1" applyBorder="1" applyAlignment="1">
      <alignment horizontal="left"/>
    </xf>
    <xf numFmtId="164" fontId="7" fillId="2" borderId="14" xfId="1" applyNumberFormat="1" applyFont="1" applyFill="1" applyBorder="1"/>
    <xf numFmtId="0" fontId="7" fillId="2" borderId="15" xfId="0" applyFont="1" applyFill="1" applyBorder="1" applyAlignment="1">
      <alignment horizontal="left"/>
    </xf>
    <xf numFmtId="164" fontId="7" fillId="2" borderId="16" xfId="1" applyNumberFormat="1" applyFont="1" applyFill="1" applyBorder="1"/>
    <xf numFmtId="10" fontId="8" fillId="5" borderId="10" xfId="1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0" fontId="6" fillId="8" borderId="9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right"/>
    </xf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right"/>
    </xf>
    <xf numFmtId="0" fontId="6" fillId="8" borderId="5" xfId="0" applyFont="1" applyFill="1" applyBorder="1" applyAlignment="1">
      <alignment horizontal="left"/>
    </xf>
    <xf numFmtId="164" fontId="9" fillId="8" borderId="5" xfId="1" applyNumberFormat="1" applyFont="1" applyFill="1" applyBorder="1" applyAlignment="1">
      <alignment horizontal="right"/>
    </xf>
    <xf numFmtId="0" fontId="8" fillId="8" borderId="3" xfId="0" applyFont="1" applyFill="1" applyBorder="1" applyAlignment="1">
      <alignment horizontal="left"/>
    </xf>
    <xf numFmtId="10" fontId="8" fillId="8" borderId="10" xfId="1" applyNumberFormat="1" applyFont="1" applyFill="1" applyBorder="1" applyAlignment="1">
      <alignment horizontal="right"/>
    </xf>
    <xf numFmtId="0" fontId="6" fillId="8" borderId="0" xfId="0" applyFont="1" applyFill="1" applyAlignment="1">
      <alignment horizontal="left"/>
    </xf>
    <xf numFmtId="0" fontId="6" fillId="8" borderId="3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right"/>
    </xf>
    <xf numFmtId="0" fontId="7" fillId="8" borderId="11" xfId="0" applyFont="1" applyFill="1" applyBorder="1" applyAlignment="1">
      <alignment horizontal="left"/>
    </xf>
    <xf numFmtId="169" fontId="7" fillId="8" borderId="12" xfId="1" applyNumberFormat="1" applyFont="1" applyFill="1" applyBorder="1" applyAlignment="1">
      <alignment horizontal="right"/>
    </xf>
    <xf numFmtId="0" fontId="6" fillId="9" borderId="9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6" fillId="8" borderId="0" xfId="0" applyFont="1" applyFill="1"/>
    <xf numFmtId="0" fontId="12" fillId="2" borderId="0" xfId="0" applyFont="1" applyFill="1" applyAlignment="1">
      <alignment horizontal="left" vertical="top"/>
    </xf>
    <xf numFmtId="0" fontId="12" fillId="2" borderId="9" xfId="0" applyFont="1" applyFill="1" applyBorder="1" applyAlignment="1">
      <alignment horizontal="left" vertical="top"/>
    </xf>
    <xf numFmtId="0" fontId="6" fillId="8" borderId="9" xfId="0" applyFont="1" applyFill="1" applyBorder="1"/>
    <xf numFmtId="0" fontId="0" fillId="0" borderId="9" xfId="0" applyBorder="1"/>
    <xf numFmtId="4" fontId="0" fillId="0" borderId="9" xfId="0" applyNumberFormat="1" applyBorder="1"/>
    <xf numFmtId="0" fontId="0" fillId="0" borderId="10" xfId="0" applyBorder="1" applyAlignment="1">
      <alignment horizontal="left" vertical="top" wrapText="1"/>
    </xf>
    <xf numFmtId="0" fontId="0" fillId="6" borderId="10" xfId="0" applyFill="1" applyBorder="1"/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10" xfId="0" applyBorder="1" applyAlignment="1">
      <alignment wrapText="1"/>
    </xf>
    <xf numFmtId="0" fontId="2" fillId="0" borderId="9" xfId="0" applyFont="1" applyBorder="1"/>
    <xf numFmtId="0" fontId="15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13" fillId="10" borderId="9" xfId="0" applyFont="1" applyFill="1" applyBorder="1"/>
    <xf numFmtId="0" fontId="13" fillId="8" borderId="9" xfId="0" applyFont="1" applyFill="1" applyBorder="1"/>
    <xf numFmtId="0" fontId="2" fillId="0" borderId="17" xfId="0" applyFont="1" applyBorder="1"/>
    <xf numFmtId="0" fontId="2" fillId="0" borderId="10" xfId="0" applyFont="1" applyBorder="1" applyAlignment="1">
      <alignment horizont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19" fillId="0" borderId="0" xfId="0" applyFont="1" applyAlignment="1">
      <alignment vertical="center"/>
    </xf>
    <xf numFmtId="0" fontId="14" fillId="0" borderId="0" xfId="0" applyFont="1"/>
    <xf numFmtId="0" fontId="14" fillId="0" borderId="19" xfId="0" applyFont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23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th\Downloads\CHAITANYA_DESHMUKH_230909.xlsx" TargetMode="External"/><Relationship Id="rId1" Type="http://schemas.openxmlformats.org/officeDocument/2006/relationships/externalLinkPath" Target="file:///C:\Users\Parth\Downloads\CHAITANYA_DESHMUKH_230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FOLIO-1"/>
      <sheetName val="PORTFOLIO-2"/>
      <sheetName val="ANALYSIS"/>
    </sheetNames>
    <sheetDataSet>
      <sheetData sheetId="0">
        <row r="7">
          <cell r="C7">
            <v>3343.21</v>
          </cell>
          <cell r="D7">
            <v>874.1</v>
          </cell>
          <cell r="E7">
            <v>450.71</v>
          </cell>
          <cell r="F7">
            <v>720.54</v>
          </cell>
          <cell r="G7">
            <v>2926.45</v>
          </cell>
          <cell r="H7">
            <v>716.45</v>
          </cell>
          <cell r="I7">
            <v>1525.16</v>
          </cell>
          <cell r="J7">
            <v>831.9</v>
          </cell>
          <cell r="K7">
            <v>1342.45</v>
          </cell>
          <cell r="L7">
            <v>149.5</v>
          </cell>
          <cell r="M7">
            <v>768.65</v>
          </cell>
          <cell r="N7">
            <v>350.19</v>
          </cell>
          <cell r="O7">
            <v>17662.150000000001</v>
          </cell>
        </row>
        <row r="8">
          <cell r="C8">
            <v>3297.57</v>
          </cell>
          <cell r="D8">
            <v>816</v>
          </cell>
          <cell r="E8">
            <v>419.41</v>
          </cell>
          <cell r="F8">
            <v>706.52</v>
          </cell>
          <cell r="G8">
            <v>3246.6</v>
          </cell>
          <cell r="H8">
            <v>667.2</v>
          </cell>
          <cell r="I8">
            <v>1479.21</v>
          </cell>
          <cell r="J8">
            <v>854.85</v>
          </cell>
          <cell r="K8">
            <v>1334.9</v>
          </cell>
          <cell r="L8">
            <v>145.5</v>
          </cell>
          <cell r="M8">
            <v>740.6</v>
          </cell>
          <cell r="N8">
            <v>374.39</v>
          </cell>
          <cell r="O8">
            <v>17303.95</v>
          </cell>
        </row>
        <row r="9">
          <cell r="C9">
            <v>3191.11</v>
          </cell>
          <cell r="D9">
            <v>770.45</v>
          </cell>
          <cell r="E9">
            <v>419.51</v>
          </cell>
          <cell r="F9">
            <v>700.15</v>
          </cell>
          <cell r="G9">
            <v>3327.15</v>
          </cell>
          <cell r="H9">
            <v>688.1</v>
          </cell>
          <cell r="I9">
            <v>1419.95</v>
          </cell>
          <cell r="J9">
            <v>877.25</v>
          </cell>
          <cell r="K9">
            <v>1266.5</v>
          </cell>
          <cell r="L9">
            <v>139.19999999999999</v>
          </cell>
          <cell r="M9">
            <v>756.3</v>
          </cell>
          <cell r="N9">
            <v>381.15</v>
          </cell>
          <cell r="O9">
            <v>17359.75</v>
          </cell>
        </row>
        <row r="10">
          <cell r="C10">
            <v>3204.4</v>
          </cell>
          <cell r="D10">
            <v>801.35</v>
          </cell>
          <cell r="E10">
            <v>483.46</v>
          </cell>
          <cell r="F10">
            <v>754.47</v>
          </cell>
          <cell r="G10">
            <v>3449.6</v>
          </cell>
          <cell r="H10">
            <v>725.3</v>
          </cell>
          <cell r="I10">
            <v>1245.73</v>
          </cell>
          <cell r="J10">
            <v>917.65</v>
          </cell>
          <cell r="K10">
            <v>1354.65</v>
          </cell>
          <cell r="L10">
            <v>145.94999999999999</v>
          </cell>
          <cell r="M10">
            <v>777.15</v>
          </cell>
          <cell r="N10">
            <v>422.94</v>
          </cell>
          <cell r="O10">
            <v>18065</v>
          </cell>
        </row>
        <row r="11">
          <cell r="C11">
            <v>3274.33</v>
          </cell>
          <cell r="D11">
            <v>791.3</v>
          </cell>
          <cell r="E11">
            <v>524.67999999999995</v>
          </cell>
          <cell r="F11">
            <v>788.84</v>
          </cell>
          <cell r="G11">
            <v>3551.65</v>
          </cell>
          <cell r="H11">
            <v>696.3</v>
          </cell>
          <cell r="I11">
            <v>1310.91</v>
          </cell>
          <cell r="J11">
            <v>949.15</v>
          </cell>
          <cell r="K11">
            <v>1451.05</v>
          </cell>
          <cell r="L11">
            <v>146.30000000000001</v>
          </cell>
          <cell r="M11">
            <v>883.5</v>
          </cell>
          <cell r="N11">
            <v>445.5</v>
          </cell>
          <cell r="O11">
            <v>18534.400000000001</v>
          </cell>
        </row>
        <row r="12">
          <cell r="C12">
            <v>3287.02</v>
          </cell>
          <cell r="D12">
            <v>836.8</v>
          </cell>
          <cell r="E12">
            <v>593.72</v>
          </cell>
          <cell r="F12">
            <v>850.33</v>
          </cell>
          <cell r="G12">
            <v>3766.45</v>
          </cell>
          <cell r="H12">
            <v>784.8</v>
          </cell>
          <cell r="I12">
            <v>1328.02</v>
          </cell>
          <cell r="J12">
            <v>934.6</v>
          </cell>
          <cell r="K12">
            <v>1528</v>
          </cell>
          <cell r="L12">
            <v>167.4</v>
          </cell>
          <cell r="M12">
            <v>912.2</v>
          </cell>
          <cell r="N12">
            <v>451.6</v>
          </cell>
          <cell r="O12">
            <v>19189.05</v>
          </cell>
        </row>
        <row r="13">
          <cell r="C13">
            <v>3405.67</v>
          </cell>
          <cell r="D13">
            <v>931.45</v>
          </cell>
          <cell r="E13">
            <v>642.32000000000005</v>
          </cell>
          <cell r="F13">
            <v>848.75</v>
          </cell>
          <cell r="G13">
            <v>3983</v>
          </cell>
          <cell r="H13">
            <v>816.75</v>
          </cell>
          <cell r="I13">
            <v>1348.1</v>
          </cell>
          <cell r="J13">
            <v>998.3</v>
          </cell>
          <cell r="K13">
            <v>1598.3</v>
          </cell>
          <cell r="L13">
            <v>184</v>
          </cell>
          <cell r="M13">
            <v>1015.85</v>
          </cell>
          <cell r="N13">
            <v>465.7</v>
          </cell>
          <cell r="O13">
            <v>19753.8</v>
          </cell>
        </row>
        <row r="14">
          <cell r="C14">
            <v>3341.32</v>
          </cell>
          <cell r="D14">
            <v>1070.3499999999999</v>
          </cell>
          <cell r="E14">
            <v>599.15</v>
          </cell>
          <cell r="F14">
            <v>824.11</v>
          </cell>
          <cell r="G14">
            <v>3922.1</v>
          </cell>
          <cell r="H14">
            <v>779.65</v>
          </cell>
          <cell r="I14">
            <v>1427.41</v>
          </cell>
          <cell r="J14">
            <v>958.75</v>
          </cell>
          <cell r="K14">
            <v>1488.9</v>
          </cell>
          <cell r="L14">
            <v>183.85</v>
          </cell>
          <cell r="M14">
            <v>1007.55</v>
          </cell>
          <cell r="N14">
            <v>439.7</v>
          </cell>
          <cell r="O14">
            <v>19253.8</v>
          </cell>
        </row>
        <row r="15">
          <cell r="C15">
            <v>3512.33</v>
          </cell>
          <cell r="D15">
            <v>1091.5999999999999</v>
          </cell>
          <cell r="E15">
            <v>628.26</v>
          </cell>
          <cell r="F15">
            <v>866.13</v>
          </cell>
          <cell r="G15">
            <v>3672.5</v>
          </cell>
          <cell r="H15">
            <v>779.6</v>
          </cell>
          <cell r="I15">
            <v>1427.41</v>
          </cell>
          <cell r="J15">
            <v>951.9</v>
          </cell>
          <cell r="K15">
            <v>1540.25</v>
          </cell>
          <cell r="L15">
            <v>177</v>
          </cell>
          <cell r="M15">
            <v>1007.25</v>
          </cell>
          <cell r="N15">
            <v>444.4</v>
          </cell>
          <cell r="O15">
            <v>19638.3</v>
          </cell>
        </row>
        <row r="16">
          <cell r="C16">
            <v>3353.21</v>
          </cell>
          <cell r="D16">
            <v>1019.35</v>
          </cell>
          <cell r="E16">
            <v>626.72</v>
          </cell>
          <cell r="F16">
            <v>889.45</v>
          </cell>
          <cell r="G16">
            <v>3330.95</v>
          </cell>
          <cell r="H16">
            <v>736.35</v>
          </cell>
          <cell r="I16">
            <v>1360.73</v>
          </cell>
          <cell r="J16">
            <v>915.35</v>
          </cell>
          <cell r="K16">
            <v>1569.55</v>
          </cell>
          <cell r="L16">
            <v>167.7</v>
          </cell>
          <cell r="M16">
            <v>1032.2</v>
          </cell>
          <cell r="N16">
            <v>428.4</v>
          </cell>
          <cell r="O16">
            <v>19079.599999999999</v>
          </cell>
        </row>
        <row r="17">
          <cell r="C17">
            <v>3471.51</v>
          </cell>
          <cell r="D17">
            <v>1120.25</v>
          </cell>
          <cell r="E17">
            <v>704.23</v>
          </cell>
          <cell r="F17">
            <v>929.2</v>
          </cell>
          <cell r="G17">
            <v>3657.6</v>
          </cell>
          <cell r="H17">
            <v>801.1</v>
          </cell>
          <cell r="I17">
            <v>1446.99</v>
          </cell>
          <cell r="J17">
            <v>934.95</v>
          </cell>
          <cell r="K17">
            <v>1673.5</v>
          </cell>
          <cell r="L17">
            <v>183.15</v>
          </cell>
          <cell r="M17">
            <v>1048.8499999999999</v>
          </cell>
          <cell r="N17">
            <v>435.8</v>
          </cell>
          <cell r="O17">
            <v>20133.150000000001</v>
          </cell>
        </row>
        <row r="18">
          <cell r="C18">
            <v>3775.91</v>
          </cell>
          <cell r="D18">
            <v>1238.3499999999999</v>
          </cell>
          <cell r="E18">
            <v>777.55</v>
          </cell>
          <cell r="F18">
            <v>1073.46</v>
          </cell>
          <cell r="G18">
            <v>4024.7</v>
          </cell>
          <cell r="H18">
            <v>880.25</v>
          </cell>
          <cell r="I18">
            <v>1534.25</v>
          </cell>
          <cell r="J18">
            <v>996.6</v>
          </cell>
          <cell r="K18">
            <v>1685.8</v>
          </cell>
          <cell r="L18">
            <v>181.55</v>
          </cell>
          <cell r="M18">
            <v>1117.75</v>
          </cell>
          <cell r="N18">
            <v>462.1</v>
          </cell>
          <cell r="O18">
            <v>21731.4</v>
          </cell>
        </row>
        <row r="19">
          <cell r="C19">
            <v>3815.95</v>
          </cell>
          <cell r="D19">
            <v>1235</v>
          </cell>
          <cell r="E19">
            <v>881.48</v>
          </cell>
          <cell r="F19">
            <v>1104.27</v>
          </cell>
          <cell r="G19">
            <v>4142</v>
          </cell>
          <cell r="H19">
            <v>818.65</v>
          </cell>
          <cell r="I19">
            <v>1651.59</v>
          </cell>
          <cell r="J19">
            <v>1028.1500000000001</v>
          </cell>
          <cell r="K19">
            <v>1627.3</v>
          </cell>
          <cell r="L19">
            <v>175.9</v>
          </cell>
          <cell r="M19">
            <v>1086.4000000000001</v>
          </cell>
          <cell r="N19">
            <v>441.55</v>
          </cell>
          <cell r="O19">
            <v>21725.7</v>
          </cell>
        </row>
        <row r="20">
          <cell r="C20">
            <v>4095.1</v>
          </cell>
          <cell r="D20">
            <v>1151</v>
          </cell>
          <cell r="E20">
            <v>947.28</v>
          </cell>
          <cell r="F20">
            <v>1175.44</v>
          </cell>
          <cell r="G20">
            <v>4679.25</v>
          </cell>
          <cell r="H20">
            <v>800.1</v>
          </cell>
          <cell r="I20">
            <v>1664.52</v>
          </cell>
          <cell r="J20">
            <v>1052.2</v>
          </cell>
          <cell r="K20">
            <v>1593.8</v>
          </cell>
          <cell r="L20">
            <v>169.9</v>
          </cell>
          <cell r="M20">
            <v>1165.8499999999999</v>
          </cell>
          <cell r="N20">
            <v>406.3</v>
          </cell>
          <cell r="O20">
            <v>21982.799999999999</v>
          </cell>
        </row>
        <row r="21">
          <cell r="C21">
            <v>3876.3</v>
          </cell>
          <cell r="D21">
            <v>1129.5999999999999</v>
          </cell>
          <cell r="E21">
            <v>989.75</v>
          </cell>
          <cell r="F21">
            <v>1082.74</v>
          </cell>
          <cell r="G21">
            <v>5374.05</v>
          </cell>
          <cell r="H21">
            <v>830.2</v>
          </cell>
          <cell r="I21">
            <v>1489.66</v>
          </cell>
          <cell r="J21">
            <v>1093.3</v>
          </cell>
          <cell r="K21">
            <v>1643.85</v>
          </cell>
          <cell r="L21">
            <v>171.25</v>
          </cell>
          <cell r="M21">
            <v>1134.25</v>
          </cell>
          <cell r="N21">
            <v>428.35</v>
          </cell>
          <cell r="O21">
            <v>22326.9</v>
          </cell>
        </row>
        <row r="22">
          <cell r="C22">
            <v>3820.65</v>
          </cell>
          <cell r="D22">
            <v>1271.2</v>
          </cell>
          <cell r="E22">
            <v>1004.8</v>
          </cell>
          <cell r="F22">
            <v>1094.74</v>
          </cell>
          <cell r="G22">
            <v>5841.7</v>
          </cell>
          <cell r="H22">
            <v>882.2</v>
          </cell>
          <cell r="I22">
            <v>1412.59</v>
          </cell>
          <cell r="J22">
            <v>1150.4000000000001</v>
          </cell>
          <cell r="K22">
            <v>1615</v>
          </cell>
          <cell r="L22">
            <v>192.65</v>
          </cell>
          <cell r="M22">
            <v>1177</v>
          </cell>
          <cell r="N22">
            <v>435.65</v>
          </cell>
          <cell r="O22">
            <v>22604.85</v>
          </cell>
        </row>
        <row r="23">
          <cell r="C23">
            <v>3670.95</v>
          </cell>
          <cell r="D23">
            <v>1560.25</v>
          </cell>
          <cell r="E23">
            <v>920.16</v>
          </cell>
          <cell r="F23">
            <v>1047.23</v>
          </cell>
          <cell r="G23">
            <v>6974</v>
          </cell>
          <cell r="H23">
            <v>880.55</v>
          </cell>
          <cell r="I23">
            <v>1406.9</v>
          </cell>
          <cell r="J23">
            <v>1121.05</v>
          </cell>
          <cell r="K23">
            <v>1528.6</v>
          </cell>
          <cell r="L23">
            <v>224</v>
          </cell>
          <cell r="M23">
            <v>1159.4000000000001</v>
          </cell>
          <cell r="N23">
            <v>426.45</v>
          </cell>
          <cell r="O23">
            <v>22530.7</v>
          </cell>
        </row>
        <row r="24">
          <cell r="C24">
            <v>3904.15</v>
          </cell>
          <cell r="D24">
            <v>1670.35</v>
          </cell>
          <cell r="E24">
            <v>989.75</v>
          </cell>
          <cell r="F24">
            <v>1083.98</v>
          </cell>
          <cell r="G24">
            <v>7704.5</v>
          </cell>
          <cell r="H24">
            <v>931.5</v>
          </cell>
          <cell r="I24">
            <v>1566.75</v>
          </cell>
          <cell r="J24">
            <v>1199.5999999999999</v>
          </cell>
          <cell r="K24">
            <v>1588.15</v>
          </cell>
          <cell r="L24">
            <v>241.89</v>
          </cell>
          <cell r="M24">
            <v>1276.5</v>
          </cell>
          <cell r="N24">
            <v>424.9</v>
          </cell>
          <cell r="O24">
            <v>24010.6</v>
          </cell>
        </row>
        <row r="25">
          <cell r="C25">
            <v>4385.3500000000004</v>
          </cell>
          <cell r="D25">
            <v>1733.5</v>
          </cell>
          <cell r="E25">
            <v>1156.6500000000001</v>
          </cell>
          <cell r="F25">
            <v>1188.95</v>
          </cell>
          <cell r="G25">
            <v>7132.9</v>
          </cell>
          <cell r="H25">
            <v>928.25</v>
          </cell>
          <cell r="I25">
            <v>1868.25</v>
          </cell>
          <cell r="J25">
            <v>1214.9000000000001</v>
          </cell>
          <cell r="K25">
            <v>1651.65</v>
          </cell>
          <cell r="L25">
            <v>257.08999999999997</v>
          </cell>
          <cell r="M25">
            <v>1413.3</v>
          </cell>
          <cell r="N25">
            <v>495.35</v>
          </cell>
          <cell r="O25">
            <v>24951.15</v>
          </cell>
        </row>
        <row r="26">
          <cell r="C26">
            <v>4553.75</v>
          </cell>
          <cell r="D26">
            <v>1587</v>
          </cell>
          <cell r="E26">
            <v>1111.3499999999999</v>
          </cell>
          <cell r="F26">
            <v>1200.1500000000001</v>
          </cell>
          <cell r="G26">
            <v>6893.1</v>
          </cell>
          <cell r="H26">
            <v>941.1</v>
          </cell>
          <cell r="I26">
            <v>1943.7</v>
          </cell>
          <cell r="J26">
            <v>1229.2</v>
          </cell>
          <cell r="K26">
            <v>1783.05</v>
          </cell>
          <cell r="L26">
            <v>256.45</v>
          </cell>
          <cell r="M26">
            <v>1474.35</v>
          </cell>
          <cell r="N26">
            <v>501.9</v>
          </cell>
          <cell r="O26">
            <v>25235.9</v>
          </cell>
        </row>
        <row r="27">
          <cell r="C27">
            <v>4268.5</v>
          </cell>
          <cell r="D27">
            <v>1516.6</v>
          </cell>
          <cell r="E27">
            <v>974.65</v>
          </cell>
          <cell r="F27">
            <v>1196.95</v>
          </cell>
          <cell r="G27">
            <v>7250</v>
          </cell>
          <cell r="H27">
            <v>1030.05</v>
          </cell>
          <cell r="I27">
            <v>1875.6</v>
          </cell>
          <cell r="J27">
            <v>1273</v>
          </cell>
          <cell r="K27">
            <v>1973.4</v>
          </cell>
          <cell r="L27">
            <v>235.4</v>
          </cell>
          <cell r="M27">
            <v>1589.9</v>
          </cell>
          <cell r="N27">
            <v>518.15</v>
          </cell>
          <cell r="O27">
            <v>25810.85</v>
          </cell>
        </row>
        <row r="28">
          <cell r="C28">
            <v>3906.18</v>
          </cell>
          <cell r="D28">
            <v>1410.15</v>
          </cell>
          <cell r="E28">
            <v>834.05</v>
          </cell>
          <cell r="F28">
            <v>1002.55</v>
          </cell>
          <cell r="G28">
            <v>6976.3</v>
          </cell>
          <cell r="H28">
            <v>963.65</v>
          </cell>
          <cell r="I28">
            <v>1757.25</v>
          </cell>
          <cell r="J28">
            <v>1292.25</v>
          </cell>
          <cell r="K28">
            <v>1750.75</v>
          </cell>
          <cell r="L28">
            <v>208.18</v>
          </cell>
          <cell r="M28">
            <v>1449.1</v>
          </cell>
          <cell r="N28">
            <v>462.41</v>
          </cell>
          <cell r="O28">
            <v>24205.35</v>
          </cell>
        </row>
        <row r="29">
          <cell r="C29">
            <v>4203.84</v>
          </cell>
          <cell r="D29">
            <v>1332.25</v>
          </cell>
          <cell r="E29">
            <v>786.45</v>
          </cell>
          <cell r="F29">
            <v>958.65</v>
          </cell>
          <cell r="G29">
            <v>7560.85</v>
          </cell>
          <cell r="H29">
            <v>966</v>
          </cell>
          <cell r="I29">
            <v>1857.85</v>
          </cell>
          <cell r="J29">
            <v>1300.0999999999999</v>
          </cell>
          <cell r="K29">
            <v>1579.95</v>
          </cell>
          <cell r="L29">
            <v>232.08</v>
          </cell>
          <cell r="M29">
            <v>1529.1</v>
          </cell>
          <cell r="N29">
            <v>451.01</v>
          </cell>
          <cell r="O29">
            <v>24131.1</v>
          </cell>
        </row>
        <row r="30">
          <cell r="C30">
            <v>4030.55</v>
          </cell>
          <cell r="D30">
            <v>1299.5</v>
          </cell>
          <cell r="E30">
            <v>740.15</v>
          </cell>
          <cell r="F30">
            <v>914.7</v>
          </cell>
          <cell r="G30">
            <v>6536.05</v>
          </cell>
          <cell r="H30">
            <v>901.5</v>
          </cell>
          <cell r="I30">
            <v>1880</v>
          </cell>
          <cell r="J30">
            <v>1281.6500000000001</v>
          </cell>
          <cell r="K30">
            <v>1568.1</v>
          </cell>
          <cell r="L30">
            <v>220.5</v>
          </cell>
          <cell r="M30">
            <v>1625.45</v>
          </cell>
          <cell r="N30">
            <v>457.54</v>
          </cell>
          <cell r="O30">
            <v>23644.799999999999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A1E6E-0DC4-4D3E-8E3D-BBDF4CB9B609}" name="Table1" displayName="Table1" ref="A1:D11" totalsRowShown="0" headerRowDxfId="22" headerRowBorderDxfId="21" tableBorderDxfId="20" totalsRowBorderDxfId="19">
  <tableColumns count="4">
    <tableColumn id="1" xr3:uid="{24C70974-E5C6-431C-B08C-7A5B17EB5791}" name="Company Name" dataDxfId="18"/>
    <tableColumn id="2" xr3:uid="{AEFB5F0C-AC2B-45C0-96DD-318F18F0CA41}" name="Nifty 100 ESG (%)" dataDxfId="17"/>
    <tableColumn id="3" xr3:uid="{FA6548C6-3099-418C-97B7-42A7AAC7A614}" name="Axis ESG Fund" dataDxfId="16"/>
    <tableColumn id="4" xr3:uid="{5245C2DD-5F55-43EB-80CB-B596E2D83DDC}" name="ICICI ESG Fund" dataDxfId="1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8DEEAA-2EF7-4552-A609-30488C679041}" name="Table2" displayName="Table2" ref="A20:C27" totalsRowShown="0" headerRowDxfId="14" headerRowBorderDxfId="13" tableBorderDxfId="12" totalsRowBorderDxfId="11">
  <tableColumns count="3">
    <tableColumn id="1" xr3:uid="{2BA42B69-9DB1-4646-ADCC-75E110999882}" name="Sector" dataDxfId="10"/>
    <tableColumn id="2" xr3:uid="{DBA3ACFA-16EE-4396-8C26-EBF1ED7AD476}" name="Nifty 100 ESG (%)" dataDxfId="9"/>
    <tableColumn id="3" xr3:uid="{9583DAFB-86D9-47C7-8EF8-F0757E0E57AC}" name="Common Trend (Axis &amp; ICICI)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66D8C-3CBB-4E06-93DA-FA12EAA4C4DC}" name="Table3" displayName="Table3" ref="A29:D33" totalsRowShown="0" headerRowDxfId="7" headerRowBorderDxfId="6" tableBorderDxfId="5" totalsRowBorderDxfId="4">
  <tableColumns count="4">
    <tableColumn id="1" xr3:uid="{D6F8E16F-B62D-45C1-AA14-E6908DF55C5E}" name="Aspect" dataDxfId="3"/>
    <tableColumn id="2" xr3:uid="{74A28171-E678-4C32-B847-3E79A2F3DEEF}" name="Axis ESG Fund" dataDxfId="2"/>
    <tableColumn id="3" xr3:uid="{66D895F2-8CFD-450D-957E-452C8332BAD7}" name="ICICI ESG Fund" dataDxfId="1"/>
    <tableColumn id="4" xr3:uid="{2D22DEDF-DEF2-4BC8-BECF-81C32D11C567}" name="Nifty 100 ESG Index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87AE-BB5B-4FD5-B0C5-9D04954EE344}">
  <dimension ref="B2:AG2230"/>
  <sheetViews>
    <sheetView showGridLines="0" topLeftCell="Q7" zoomScale="60" zoomScaleNormal="60" workbookViewId="0">
      <selection activeCell="Q40" sqref="Q40"/>
    </sheetView>
  </sheetViews>
  <sheetFormatPr defaultRowHeight="14.5" x14ac:dyDescent="0.35"/>
  <cols>
    <col min="1" max="1" width="2.81640625" style="1" customWidth="1"/>
    <col min="2" max="2" width="38.36328125" style="1" bestFit="1" customWidth="1"/>
    <col min="3" max="3" width="36.36328125" style="1" bestFit="1" customWidth="1"/>
    <col min="4" max="4" width="38.36328125" style="1" bestFit="1" customWidth="1"/>
    <col min="5" max="12" width="25.81640625" style="1" customWidth="1"/>
    <col min="13" max="13" width="31.26953125" style="1" bestFit="1" customWidth="1"/>
    <col min="14" max="14" width="25.1796875" style="1" customWidth="1"/>
    <col min="15" max="15" width="27.6328125" style="1" customWidth="1"/>
    <col min="16" max="16" width="24.36328125" style="1" customWidth="1"/>
    <col min="17" max="17" width="40.453125" style="1" bestFit="1" customWidth="1"/>
    <col min="18" max="18" width="37.36328125" style="1" customWidth="1"/>
    <col min="19" max="19" width="33.36328125" style="1" customWidth="1"/>
    <col min="20" max="20" width="37.36328125" style="1" customWidth="1"/>
    <col min="21" max="21" width="42.1796875" style="1" customWidth="1"/>
    <col min="22" max="22" width="26.54296875" style="1" customWidth="1"/>
    <col min="23" max="23" width="28.36328125" style="1" customWidth="1"/>
    <col min="24" max="24" width="32.453125" style="1" customWidth="1"/>
    <col min="25" max="25" width="25.81640625" style="1" customWidth="1"/>
    <col min="26" max="26" width="25.54296875" style="1" customWidth="1"/>
    <col min="27" max="27" width="25.1796875" style="1" customWidth="1"/>
    <col min="28" max="28" width="28.54296875" style="1" customWidth="1"/>
    <col min="29" max="29" width="22" style="1" customWidth="1"/>
    <col min="30" max="30" width="10.54296875" style="1" bestFit="1" customWidth="1"/>
    <col min="31" max="31" width="15.36328125" style="1" bestFit="1" customWidth="1"/>
    <col min="32" max="33" width="10.54296875" style="1" bestFit="1" customWidth="1"/>
    <col min="34" max="16384" width="8.7265625" style="1"/>
  </cols>
  <sheetData>
    <row r="2" spans="2:33" ht="14.4" customHeight="1" thickBot="1" x14ac:dyDescent="0.65">
      <c r="B2" s="51"/>
      <c r="C2" s="51"/>
      <c r="D2" s="51"/>
    </row>
    <row r="3" spans="2:33" ht="30.65" customHeight="1" thickBot="1" x14ac:dyDescent="0.4">
      <c r="C3" s="52"/>
      <c r="D3" s="53" t="s">
        <v>32</v>
      </c>
    </row>
    <row r="4" spans="2:33" ht="14.4" customHeight="1" x14ac:dyDescent="0.35">
      <c r="AF4" s="3"/>
      <c r="AG4" s="3"/>
    </row>
    <row r="5" spans="2:33" ht="14.4" customHeight="1" x14ac:dyDescent="0.4">
      <c r="B5" s="73" t="s">
        <v>1</v>
      </c>
      <c r="C5" s="74" t="s">
        <v>2</v>
      </c>
      <c r="D5" s="74" t="s">
        <v>3</v>
      </c>
      <c r="E5" s="74" t="s">
        <v>4</v>
      </c>
      <c r="F5" s="74" t="s">
        <v>5</v>
      </c>
      <c r="G5" s="74" t="s">
        <v>6</v>
      </c>
      <c r="H5" s="74" t="s">
        <v>7</v>
      </c>
      <c r="I5" s="74" t="s">
        <v>8</v>
      </c>
      <c r="J5" s="74" t="s">
        <v>9</v>
      </c>
      <c r="K5" s="74" t="s">
        <v>10</v>
      </c>
      <c r="L5" s="74" t="s">
        <v>11</v>
      </c>
      <c r="M5" s="74" t="s">
        <v>38</v>
      </c>
      <c r="N5" s="74" t="s">
        <v>12</v>
      </c>
      <c r="O5" s="74" t="s">
        <v>13</v>
      </c>
      <c r="Q5" s="54" t="s">
        <v>14</v>
      </c>
      <c r="R5" s="55" t="s">
        <v>15</v>
      </c>
      <c r="S5" s="55" t="s">
        <v>16</v>
      </c>
      <c r="T5" s="55" t="s">
        <v>17</v>
      </c>
      <c r="U5" s="55" t="s">
        <v>18</v>
      </c>
      <c r="V5" s="55" t="s">
        <v>19</v>
      </c>
      <c r="W5" s="55" t="s">
        <v>20</v>
      </c>
      <c r="X5" s="55" t="s">
        <v>21</v>
      </c>
      <c r="Z5" s="72" t="s">
        <v>35</v>
      </c>
      <c r="AA5" s="72" t="s">
        <v>36</v>
      </c>
      <c r="AB5" s="72" t="s">
        <v>37</v>
      </c>
      <c r="AF5" s="3"/>
      <c r="AG5" s="3"/>
    </row>
    <row r="6" spans="2:33" x14ac:dyDescent="0.35">
      <c r="B6" s="75">
        <v>44927</v>
      </c>
      <c r="C6" s="76">
        <v>3343.21</v>
      </c>
      <c r="D6" s="76">
        <v>874.1</v>
      </c>
      <c r="E6" s="76">
        <v>450.71</v>
      </c>
      <c r="F6" s="76">
        <v>720.54</v>
      </c>
      <c r="G6" s="76">
        <v>2926.45</v>
      </c>
      <c r="H6" s="76">
        <v>716.45</v>
      </c>
      <c r="I6" s="76">
        <v>1525.16</v>
      </c>
      <c r="J6" s="76">
        <v>831.9</v>
      </c>
      <c r="K6" s="76">
        <v>1342.45</v>
      </c>
      <c r="L6" s="76">
        <v>149.5</v>
      </c>
      <c r="M6" s="77">
        <v>768.65</v>
      </c>
      <c r="N6" s="77">
        <v>350.19</v>
      </c>
      <c r="O6" s="76">
        <v>17662.150000000001</v>
      </c>
      <c r="Q6" s="4" t="s">
        <v>13</v>
      </c>
      <c r="R6" s="5" t="s">
        <v>22</v>
      </c>
      <c r="S6" s="6">
        <f>AVERAGE(O35:O58)</f>
        <v>1.3266928411915187E-2</v>
      </c>
      <c r="T6" s="6">
        <f>S6*12</f>
        <v>0.15920314094298224</v>
      </c>
      <c r="U6" s="6">
        <f>_xlfn.VAR.S(O35:O58)</f>
        <v>1.0611924828376191E-3</v>
      </c>
      <c r="V6" s="6">
        <f t="shared" ref="V6:V15" si="0">SQRT(U6)</f>
        <v>3.2575949454123655E-2</v>
      </c>
      <c r="W6" s="5" t="s">
        <v>22</v>
      </c>
      <c r="X6" s="91">
        <f>V6*SQRT(12)</f>
        <v>0.1128463991186756</v>
      </c>
      <c r="Z6" s="68">
        <f>SLOPE(M35:M2231,M35:M2231)</f>
        <v>1</v>
      </c>
      <c r="AA6" s="69" t="s">
        <v>22</v>
      </c>
      <c r="AB6" s="69" t="s">
        <v>22</v>
      </c>
      <c r="AF6" s="3"/>
      <c r="AG6" s="3"/>
    </row>
    <row r="7" spans="2:33" ht="16" x14ac:dyDescent="0.4">
      <c r="B7" s="75">
        <v>44958</v>
      </c>
      <c r="C7" s="76">
        <v>3297.57</v>
      </c>
      <c r="D7" s="76">
        <v>816</v>
      </c>
      <c r="E7" s="76">
        <v>419.41</v>
      </c>
      <c r="F7" s="76">
        <v>706.52</v>
      </c>
      <c r="G7" s="76">
        <v>3246.6</v>
      </c>
      <c r="H7" s="76">
        <v>667.2</v>
      </c>
      <c r="I7" s="76">
        <v>1479.21</v>
      </c>
      <c r="J7" s="76">
        <v>854.85</v>
      </c>
      <c r="K7" s="76">
        <v>1334.9</v>
      </c>
      <c r="L7" s="76">
        <v>145.5</v>
      </c>
      <c r="M7" s="77">
        <v>740.6</v>
      </c>
      <c r="N7" s="77">
        <v>374.39</v>
      </c>
      <c r="O7" s="76">
        <v>17303.95</v>
      </c>
      <c r="Q7" s="107" t="s">
        <v>2</v>
      </c>
      <c r="R7" s="7">
        <v>5.5E-2</v>
      </c>
      <c r="S7" s="8">
        <f>AVERAGE(C35:C58)</f>
        <v>9.5390385373609471E-3</v>
      </c>
      <c r="T7" s="9">
        <f t="shared" ref="T7:T18" si="1">S7*12</f>
        <v>0.11446846244833137</v>
      </c>
      <c r="U7" s="9">
        <f>_xlfn.VAR.S(C35:C58)</f>
        <v>2.922996511033464E-3</v>
      </c>
      <c r="V7" s="9">
        <f t="shared" si="0"/>
        <v>5.4064743697103235E-2</v>
      </c>
      <c r="W7" s="10">
        <f>V7/S7*100</f>
        <v>566.77351166316475</v>
      </c>
      <c r="X7" s="11">
        <f t="shared" ref="X7:X18" si="2">V7*SQRT(12)</f>
        <v>0.18728576596314403</v>
      </c>
      <c r="Z7" s="70">
        <f>SLOPE($C35:$C58,$O$35:$O$58)</f>
        <v>1.0605840992552273</v>
      </c>
      <c r="AA7" s="71">
        <f t="shared" ref="AA7:AA18" si="3">$R$24+($T$6-$R$24)*Z7</f>
        <v>0.16521327388030219</v>
      </c>
      <c r="AB7" s="71">
        <f t="shared" ref="AB7:AB18" si="4">T7-AA7</f>
        <v>-5.0744811431970821E-2</v>
      </c>
      <c r="AC7" s="2"/>
      <c r="AE7" s="2"/>
      <c r="AF7" s="3"/>
      <c r="AG7" s="3"/>
    </row>
    <row r="8" spans="2:33" ht="16" x14ac:dyDescent="0.4">
      <c r="B8" s="75">
        <v>44986</v>
      </c>
      <c r="C8" s="76">
        <v>3191.11</v>
      </c>
      <c r="D8" s="76">
        <v>770.45</v>
      </c>
      <c r="E8" s="76">
        <v>419.51</v>
      </c>
      <c r="F8" s="76">
        <v>700.15</v>
      </c>
      <c r="G8" s="76">
        <v>3327.15</v>
      </c>
      <c r="H8" s="76">
        <v>688.1</v>
      </c>
      <c r="I8" s="76">
        <v>1419.95</v>
      </c>
      <c r="J8" s="76">
        <v>877.25</v>
      </c>
      <c r="K8" s="76">
        <v>1266.5</v>
      </c>
      <c r="L8" s="76">
        <v>139.19999999999999</v>
      </c>
      <c r="M8" s="77">
        <v>756.3</v>
      </c>
      <c r="N8" s="77">
        <v>381.15</v>
      </c>
      <c r="O8" s="76">
        <v>17359.75</v>
      </c>
      <c r="Q8" s="107" t="s">
        <v>3</v>
      </c>
      <c r="R8" s="12">
        <v>7.4999999999999997E-2</v>
      </c>
      <c r="S8" s="13">
        <f>AVERAGE(D35:D58)</f>
        <v>2.0695258026663749E-2</v>
      </c>
      <c r="T8" s="14">
        <f t="shared" si="1"/>
        <v>0.24834309631996498</v>
      </c>
      <c r="U8" s="14">
        <f>_xlfn.VAR.S(D35:D58)</f>
        <v>7.2714111215081423E-3</v>
      </c>
      <c r="V8" s="14">
        <f t="shared" si="0"/>
        <v>8.5272569572566195E-2</v>
      </c>
      <c r="W8" s="15">
        <f t="shared" ref="W8:W15" si="5">V8/S8*100</f>
        <v>412.03917082213286</v>
      </c>
      <c r="X8" s="16">
        <f t="shared" si="2"/>
        <v>0.29539284598327309</v>
      </c>
      <c r="Z8" s="70">
        <f>SLOPE(D35:D58,O35:O58)</f>
        <v>0.97434074621696654</v>
      </c>
      <c r="AA8" s="71">
        <f t="shared" si="3"/>
        <v>0.15665766237345222</v>
      </c>
      <c r="AB8" s="71">
        <f t="shared" si="4"/>
        <v>9.1685433946512768E-2</v>
      </c>
      <c r="AC8" s="3"/>
      <c r="AE8" s="3"/>
      <c r="AF8" s="3"/>
      <c r="AG8" s="3"/>
    </row>
    <row r="9" spans="2:33" ht="16" x14ac:dyDescent="0.4">
      <c r="B9" s="75">
        <v>45017</v>
      </c>
      <c r="C9" s="76">
        <v>3204.4</v>
      </c>
      <c r="D9" s="76">
        <v>801.35</v>
      </c>
      <c r="E9" s="76">
        <v>483.46</v>
      </c>
      <c r="F9" s="76">
        <v>754.47</v>
      </c>
      <c r="G9" s="76">
        <v>3449.6</v>
      </c>
      <c r="H9" s="76">
        <v>725.3</v>
      </c>
      <c r="I9" s="76">
        <v>1245.73</v>
      </c>
      <c r="J9" s="76">
        <v>917.65</v>
      </c>
      <c r="K9" s="76">
        <v>1354.65</v>
      </c>
      <c r="L9" s="76">
        <v>145.94999999999999</v>
      </c>
      <c r="M9" s="77">
        <v>777.15</v>
      </c>
      <c r="N9" s="77">
        <v>422.94</v>
      </c>
      <c r="O9" s="76">
        <v>18065</v>
      </c>
      <c r="Q9" s="107" t="s">
        <v>4</v>
      </c>
      <c r="R9" s="12">
        <v>0.1</v>
      </c>
      <c r="S9" s="13">
        <f>AVERAGE(E35:E58)</f>
        <v>2.5854398169651013E-2</v>
      </c>
      <c r="T9" s="14">
        <f t="shared" si="1"/>
        <v>0.31025277803581214</v>
      </c>
      <c r="U9" s="14">
        <f>_xlfn.VAR.S(E35:E58)</f>
        <v>8.550765753507E-3</v>
      </c>
      <c r="V9" s="14">
        <f t="shared" si="0"/>
        <v>9.2470350672564233E-2</v>
      </c>
      <c r="W9" s="15">
        <f>V9/S9*100</f>
        <v>357.6581054635023</v>
      </c>
      <c r="X9" s="16">
        <f t="shared" si="2"/>
        <v>0.32032669111718431</v>
      </c>
      <c r="Z9" s="70">
        <f>SLOPE(E35:E58,O35:O58)</f>
        <v>2.0343564321055996</v>
      </c>
      <c r="AA9" s="71">
        <f t="shared" si="3"/>
        <v>0.2618145478624343</v>
      </c>
      <c r="AB9" s="71">
        <f t="shared" si="4"/>
        <v>4.8438230173377839E-2</v>
      </c>
      <c r="AC9" s="3"/>
      <c r="AE9" s="3"/>
      <c r="AF9" s="17"/>
      <c r="AG9" s="18"/>
    </row>
    <row r="10" spans="2:33" ht="16" x14ac:dyDescent="0.4">
      <c r="B10" s="75">
        <v>45047</v>
      </c>
      <c r="C10" s="76">
        <v>3274.33</v>
      </c>
      <c r="D10" s="76">
        <v>791.3</v>
      </c>
      <c r="E10" s="76">
        <v>524.67999999999995</v>
      </c>
      <c r="F10" s="76">
        <v>788.84</v>
      </c>
      <c r="G10" s="76">
        <v>3551.65</v>
      </c>
      <c r="H10" s="76">
        <v>696.3</v>
      </c>
      <c r="I10" s="76">
        <v>1310.91</v>
      </c>
      <c r="J10" s="76">
        <v>949.15</v>
      </c>
      <c r="K10" s="76">
        <v>1451.05</v>
      </c>
      <c r="L10" s="76">
        <v>146.30000000000001</v>
      </c>
      <c r="M10" s="77">
        <v>883.5</v>
      </c>
      <c r="N10" s="77">
        <v>445.5</v>
      </c>
      <c r="O10" s="76">
        <v>18534.400000000001</v>
      </c>
      <c r="Q10" s="107" t="s">
        <v>5</v>
      </c>
      <c r="R10" s="12">
        <v>4.4999999999999998E-2</v>
      </c>
      <c r="S10" s="13">
        <f>AVERAGE(F35:F58)</f>
        <v>1.2529988758052392E-2</v>
      </c>
      <c r="T10" s="14">
        <f>S10*12</f>
        <v>0.15035986509662871</v>
      </c>
      <c r="U10" s="14">
        <f>_xlfn.VAR.S(F35:F58)</f>
        <v>4.3452839633811588E-3</v>
      </c>
      <c r="V10" s="14">
        <f t="shared" si="0"/>
        <v>6.5918767914617149E-2</v>
      </c>
      <c r="W10" s="15">
        <f t="shared" si="5"/>
        <v>526.08800524465335</v>
      </c>
      <c r="X10" s="16">
        <f t="shared" si="2"/>
        <v>0.22834931040091605</v>
      </c>
      <c r="Z10" s="70">
        <f>SLOPE(F35:F58,O35:O58)</f>
        <v>1.5618141023724985</v>
      </c>
      <c r="AA10" s="71">
        <f t="shared" si="3"/>
        <v>0.21493686452439625</v>
      </c>
      <c r="AB10" s="71">
        <f t="shared" si="4"/>
        <v>-6.457699942776754E-2</v>
      </c>
      <c r="AC10" s="3"/>
      <c r="AE10" s="3"/>
      <c r="AF10" s="17"/>
      <c r="AG10" s="17"/>
    </row>
    <row r="11" spans="2:33" ht="16" x14ac:dyDescent="0.4">
      <c r="B11" s="75">
        <v>45078</v>
      </c>
      <c r="C11" s="76">
        <v>3287.02</v>
      </c>
      <c r="D11" s="76">
        <v>836.8</v>
      </c>
      <c r="E11" s="76">
        <v>593.72</v>
      </c>
      <c r="F11" s="76">
        <v>850.33</v>
      </c>
      <c r="G11" s="76">
        <v>3766.45</v>
      </c>
      <c r="H11" s="76">
        <v>784.8</v>
      </c>
      <c r="I11" s="76">
        <v>1328.02</v>
      </c>
      <c r="J11" s="76">
        <v>934.6</v>
      </c>
      <c r="K11" s="76">
        <v>1528</v>
      </c>
      <c r="L11" s="76">
        <v>167.4</v>
      </c>
      <c r="M11" s="77">
        <v>912.2</v>
      </c>
      <c r="N11" s="77">
        <v>451.6</v>
      </c>
      <c r="O11" s="76">
        <v>19189.05</v>
      </c>
      <c r="Q11" s="107" t="s">
        <v>6</v>
      </c>
      <c r="R11" s="12">
        <v>0.09</v>
      </c>
      <c r="S11" s="13">
        <f>AVERAGE(G35:G58)</f>
        <v>3.8803050897868452E-2</v>
      </c>
      <c r="T11" s="14">
        <f t="shared" si="1"/>
        <v>0.46563661077442142</v>
      </c>
      <c r="U11" s="14">
        <f>_xlfn.VAR.S(G35:G58)</f>
        <v>6.8971757098040118E-3</v>
      </c>
      <c r="V11" s="14">
        <f t="shared" si="0"/>
        <v>8.3049236659971853E-2</v>
      </c>
      <c r="W11" s="15">
        <f t="shared" si="5"/>
        <v>214.02759509442069</v>
      </c>
      <c r="X11" s="16">
        <f t="shared" si="2"/>
        <v>0.28769099484976612</v>
      </c>
      <c r="Z11" s="70">
        <f>SLOPE(G35:G58,O35:O58)</f>
        <v>0.90589498125085421</v>
      </c>
      <c r="AA11" s="71">
        <f t="shared" si="3"/>
        <v>0.14986762750456875</v>
      </c>
      <c r="AB11" s="71">
        <f t="shared" si="4"/>
        <v>0.3157689832698527</v>
      </c>
      <c r="AC11" s="3"/>
      <c r="AE11" s="3"/>
      <c r="AF11" s="17"/>
      <c r="AG11" s="17"/>
    </row>
    <row r="12" spans="2:33" ht="16" x14ac:dyDescent="0.4">
      <c r="B12" s="75">
        <v>45108</v>
      </c>
      <c r="C12" s="76">
        <v>3405.67</v>
      </c>
      <c r="D12" s="76">
        <v>931.45</v>
      </c>
      <c r="E12" s="76">
        <v>642.32000000000005</v>
      </c>
      <c r="F12" s="76">
        <v>848.75</v>
      </c>
      <c r="G12" s="76">
        <v>3983</v>
      </c>
      <c r="H12" s="76">
        <v>816.75</v>
      </c>
      <c r="I12" s="76">
        <v>1348.1</v>
      </c>
      <c r="J12" s="76">
        <v>998.3</v>
      </c>
      <c r="K12" s="76">
        <v>1598.3</v>
      </c>
      <c r="L12" s="76">
        <v>184</v>
      </c>
      <c r="M12" s="77">
        <v>1015.85</v>
      </c>
      <c r="N12" s="77">
        <v>465.7</v>
      </c>
      <c r="O12" s="76">
        <v>19753.8</v>
      </c>
      <c r="Q12" s="107" t="s">
        <v>7</v>
      </c>
      <c r="R12" s="12">
        <v>6.5000000000000002E-2</v>
      </c>
      <c r="S12" s="13">
        <f>AVERAGE(H35:H58)</f>
        <v>1.1735989976905668E-2</v>
      </c>
      <c r="T12" s="14">
        <f t="shared" si="1"/>
        <v>0.14083187972286801</v>
      </c>
      <c r="U12" s="14">
        <f>_xlfn.VAR.S(H35:H58)</f>
        <v>3.6074904526718081E-3</v>
      </c>
      <c r="V12" s="14">
        <f t="shared" si="0"/>
        <v>6.0062388003406991E-2</v>
      </c>
      <c r="W12" s="15">
        <f t="shared" si="5"/>
        <v>511.7794759675071</v>
      </c>
      <c r="X12" s="16">
        <f t="shared" si="2"/>
        <v>0.20806221529163263</v>
      </c>
      <c r="Z12" s="70">
        <f>SLOPE(H35:H58,O35:O58)</f>
        <v>1.3977652047921347</v>
      </c>
      <c r="AA12" s="71">
        <f t="shared" si="3"/>
        <v>0.19866269861619057</v>
      </c>
      <c r="AB12" s="71">
        <f t="shared" si="4"/>
        <v>-5.7830818893322561E-2</v>
      </c>
      <c r="AC12" s="3"/>
      <c r="AE12" s="3"/>
      <c r="AF12" s="17"/>
      <c r="AG12" s="17"/>
    </row>
    <row r="13" spans="2:33" ht="16" x14ac:dyDescent="0.4">
      <c r="B13" s="75">
        <v>45139</v>
      </c>
      <c r="C13" s="76">
        <v>3341.32</v>
      </c>
      <c r="D13" s="76">
        <v>1070.3499999999999</v>
      </c>
      <c r="E13" s="76">
        <v>599.15</v>
      </c>
      <c r="F13" s="76">
        <v>824.11</v>
      </c>
      <c r="G13" s="76">
        <v>3922.1</v>
      </c>
      <c r="H13" s="76">
        <v>779.65</v>
      </c>
      <c r="I13" s="76">
        <v>1427.41</v>
      </c>
      <c r="J13" s="76">
        <v>958.75</v>
      </c>
      <c r="K13" s="76">
        <v>1488.9</v>
      </c>
      <c r="L13" s="76">
        <v>183.85</v>
      </c>
      <c r="M13" s="77">
        <v>1007.55</v>
      </c>
      <c r="N13" s="77">
        <v>439.7</v>
      </c>
      <c r="O13" s="76">
        <v>19253.8</v>
      </c>
      <c r="Q13" s="107" t="s">
        <v>8</v>
      </c>
      <c r="R13" s="12">
        <v>0.05</v>
      </c>
      <c r="S13" s="13">
        <f>AVERAGE(I35:I58)</f>
        <v>1.1495352325818008E-2</v>
      </c>
      <c r="T13" s="14">
        <f t="shared" si="1"/>
        <v>0.13794422790981609</v>
      </c>
      <c r="U13" s="14">
        <f>_xlfn.VAR.S(I35:I58)</f>
        <v>5.0364695460696296E-3</v>
      </c>
      <c r="V13" s="14">
        <f t="shared" si="0"/>
        <v>7.0968088223296741E-2</v>
      </c>
      <c r="W13" s="15">
        <f t="shared" si="5"/>
        <v>617.36331529313657</v>
      </c>
      <c r="X13" s="16">
        <f t="shared" si="2"/>
        <v>0.24584066903756088</v>
      </c>
      <c r="Z13" s="70">
        <f>SLOPE(I35:I58,O35:O58)</f>
        <v>0.78611707275731157</v>
      </c>
      <c r="AA13" s="71">
        <f t="shared" si="3"/>
        <v>0.13798528276642819</v>
      </c>
      <c r="AB13" s="71">
        <f t="shared" si="4"/>
        <v>-4.10548566120994E-5</v>
      </c>
      <c r="AC13" s="17"/>
      <c r="AE13" s="17"/>
      <c r="AF13" s="17"/>
      <c r="AG13" s="17"/>
    </row>
    <row r="14" spans="2:33" ht="16" x14ac:dyDescent="0.4">
      <c r="B14" s="75">
        <v>45170</v>
      </c>
      <c r="C14" s="76">
        <v>3512.33</v>
      </c>
      <c r="D14" s="76">
        <v>1091.5999999999999</v>
      </c>
      <c r="E14" s="76">
        <v>628.26</v>
      </c>
      <c r="F14" s="76">
        <v>866.13</v>
      </c>
      <c r="G14" s="76">
        <v>3672.5</v>
      </c>
      <c r="H14" s="76">
        <v>779.6</v>
      </c>
      <c r="I14" s="76">
        <v>1427.41</v>
      </c>
      <c r="J14" s="76">
        <v>951.9</v>
      </c>
      <c r="K14" s="76">
        <v>1540.25</v>
      </c>
      <c r="L14" s="76">
        <v>177</v>
      </c>
      <c r="M14" s="77">
        <v>1007.25</v>
      </c>
      <c r="N14" s="77">
        <v>444.4</v>
      </c>
      <c r="O14" s="76">
        <v>19638.3</v>
      </c>
      <c r="Q14" s="107" t="s">
        <v>9</v>
      </c>
      <c r="R14" s="12">
        <v>0.16</v>
      </c>
      <c r="S14" s="13">
        <f>AVERAGE(J35:J58)</f>
        <v>1.9445536417136616E-2</v>
      </c>
      <c r="T14" s="14">
        <f t="shared" si="1"/>
        <v>0.2333464370056394</v>
      </c>
      <c r="U14" s="14">
        <f>_xlfn.VAR.S(J35:J58)</f>
        <v>1.0105877051592284E-3</v>
      </c>
      <c r="V14" s="14">
        <f t="shared" si="0"/>
        <v>3.1789742137350349E-2</v>
      </c>
      <c r="W14" s="15">
        <f t="shared" si="5"/>
        <v>163.48092156169707</v>
      </c>
      <c r="X14" s="16">
        <f t="shared" si="2"/>
        <v>0.11012289708280808</v>
      </c>
      <c r="Z14" s="70">
        <f>SLOPE(J35:J58,O35:O58)</f>
        <v>0.56440794939197592</v>
      </c>
      <c r="AA14" s="71">
        <f t="shared" si="3"/>
        <v>0.11599104135287178</v>
      </c>
      <c r="AB14" s="71">
        <f t="shared" si="4"/>
        <v>0.11735539565276762</v>
      </c>
      <c r="AC14" s="17"/>
      <c r="AE14" s="17"/>
      <c r="AF14" s="17"/>
      <c r="AG14" s="17"/>
    </row>
    <row r="15" spans="2:33" ht="16" x14ac:dyDescent="0.4">
      <c r="B15" s="75">
        <v>45200</v>
      </c>
      <c r="C15" s="76">
        <v>3353.21</v>
      </c>
      <c r="D15" s="76">
        <v>1019.35</v>
      </c>
      <c r="E15" s="76">
        <v>626.72</v>
      </c>
      <c r="F15" s="76">
        <v>889.45</v>
      </c>
      <c r="G15" s="76">
        <v>3330.95</v>
      </c>
      <c r="H15" s="76">
        <v>736.35</v>
      </c>
      <c r="I15" s="76">
        <v>1360.73</v>
      </c>
      <c r="J15" s="76">
        <v>915.35</v>
      </c>
      <c r="K15" s="76">
        <v>1569.55</v>
      </c>
      <c r="L15" s="76">
        <v>167.7</v>
      </c>
      <c r="M15" s="77">
        <v>1032.2</v>
      </c>
      <c r="N15" s="77">
        <v>428.4</v>
      </c>
      <c r="O15" s="76">
        <v>19079.599999999999</v>
      </c>
      <c r="Q15" s="107" t="s">
        <v>10</v>
      </c>
      <c r="R15" s="12">
        <v>6.5000000000000002E-2</v>
      </c>
      <c r="S15" s="13">
        <f>AVERAGE(K35:K58)</f>
        <v>8.4354850074781929E-3</v>
      </c>
      <c r="T15" s="14">
        <f t="shared" si="1"/>
        <v>0.10122582008973832</v>
      </c>
      <c r="U15" s="14">
        <f>_xlfn.VAR.S(K35:K58)</f>
        <v>3.4302124983692419E-3</v>
      </c>
      <c r="V15" s="14">
        <f t="shared" si="0"/>
        <v>5.8568016001647537E-2</v>
      </c>
      <c r="W15" s="15">
        <f t="shared" si="5"/>
        <v>694.30525867482493</v>
      </c>
      <c r="X15" s="16">
        <f t="shared" si="2"/>
        <v>0.20288555882672107</v>
      </c>
      <c r="Z15" s="70">
        <f>SLOPE(K35:K58,O35:O58)</f>
        <v>1.1370987049766261</v>
      </c>
      <c r="AA15" s="71">
        <f t="shared" si="3"/>
        <v>0.1728037630958788</v>
      </c>
      <c r="AB15" s="71">
        <f t="shared" si="4"/>
        <v>-7.1577943006140482E-2</v>
      </c>
      <c r="AC15" s="17"/>
      <c r="AE15" s="17"/>
      <c r="AF15" s="19"/>
      <c r="AG15" s="19"/>
    </row>
    <row r="16" spans="2:33" ht="16" x14ac:dyDescent="0.4">
      <c r="B16" s="75">
        <v>45231</v>
      </c>
      <c r="C16" s="76">
        <v>3471.51</v>
      </c>
      <c r="D16" s="76">
        <v>1120.25</v>
      </c>
      <c r="E16" s="76">
        <v>704.23</v>
      </c>
      <c r="F16" s="76">
        <v>929.2</v>
      </c>
      <c r="G16" s="76">
        <v>3657.6</v>
      </c>
      <c r="H16" s="76">
        <v>801.1</v>
      </c>
      <c r="I16" s="76">
        <v>1446.99</v>
      </c>
      <c r="J16" s="76">
        <v>934.95</v>
      </c>
      <c r="K16" s="76">
        <v>1673.5</v>
      </c>
      <c r="L16" s="76">
        <v>183.15</v>
      </c>
      <c r="M16" s="77">
        <v>1048.8499999999999</v>
      </c>
      <c r="N16" s="77">
        <v>435.8</v>
      </c>
      <c r="O16" s="76">
        <v>20133.150000000001</v>
      </c>
      <c r="Q16" s="107" t="s">
        <v>11</v>
      </c>
      <c r="R16" s="12">
        <v>0.11</v>
      </c>
      <c r="S16" s="13">
        <f>AVERAGE(L35:L58)</f>
        <v>1.9774582677338153E-2</v>
      </c>
      <c r="T16" s="14">
        <f t="shared" si="1"/>
        <v>0.23729499212805782</v>
      </c>
      <c r="U16" s="14">
        <f>_xlfn.VAR.S(L35:L58)</f>
        <v>5.8957091586871076E-3</v>
      </c>
      <c r="V16" s="14">
        <f>SQRT(U16)</f>
        <v>7.6783521400669741E-2</v>
      </c>
      <c r="W16" s="15">
        <f>V16/S16*100</f>
        <v>388.29401688797373</v>
      </c>
      <c r="X16" s="16">
        <f t="shared" si="2"/>
        <v>0.2659859205000244</v>
      </c>
      <c r="Z16" s="70">
        <f>SLOPE(L35:L58,O35:O58)</f>
        <v>1.0273491478309389</v>
      </c>
      <c r="AA16" s="71">
        <f t="shared" si="3"/>
        <v>0.16191626230992534</v>
      </c>
      <c r="AB16" s="71">
        <f t="shared" si="4"/>
        <v>7.5378729818132484E-2</v>
      </c>
      <c r="AC16" s="17"/>
      <c r="AE16" s="20"/>
      <c r="AF16" s="2"/>
      <c r="AG16" s="2"/>
    </row>
    <row r="17" spans="2:33" ht="16" x14ac:dyDescent="0.4">
      <c r="B17" s="75">
        <v>45261</v>
      </c>
      <c r="C17" s="76">
        <v>3775.91</v>
      </c>
      <c r="D17" s="76">
        <v>1238.3499999999999</v>
      </c>
      <c r="E17" s="76">
        <v>777.55</v>
      </c>
      <c r="F17" s="76">
        <v>1073.46</v>
      </c>
      <c r="G17" s="76">
        <v>4024.7</v>
      </c>
      <c r="H17" s="76">
        <v>880.25</v>
      </c>
      <c r="I17" s="76">
        <v>1534.25</v>
      </c>
      <c r="J17" s="76">
        <v>996.6</v>
      </c>
      <c r="K17" s="76">
        <v>1685.8</v>
      </c>
      <c r="L17" s="76">
        <v>181.55</v>
      </c>
      <c r="M17" s="77">
        <v>1117.75</v>
      </c>
      <c r="N17" s="77">
        <v>462.1</v>
      </c>
      <c r="O17" s="76">
        <v>21731.4</v>
      </c>
      <c r="Q17" s="107" t="s">
        <v>38</v>
      </c>
      <c r="R17" s="12">
        <v>0.125</v>
      </c>
      <c r="S17" s="13">
        <f>AVERAGE(M34:M57)</f>
        <v>3.449866315196385E-2</v>
      </c>
      <c r="T17" s="14">
        <f>S17*12</f>
        <v>0.41398395782356623</v>
      </c>
      <c r="U17" s="14">
        <f>_xlfn.VAR.S(M34:M57)</f>
        <v>3.0084308885580456E-3</v>
      </c>
      <c r="V17" s="14">
        <f t="shared" ref="V17:V18" si="6">SQRT(U17)</f>
        <v>5.4849164884782392E-2</v>
      </c>
      <c r="W17" s="15">
        <f t="shared" ref="W17:W18" si="7">V17/S17*100</f>
        <v>158.98924733163199</v>
      </c>
      <c r="X17" s="16">
        <f>V17*SQRT(12)</f>
        <v>0.19000308066633168</v>
      </c>
      <c r="Z17" s="70">
        <f>SLOPE(M34:M57,O34:O57)</f>
        <v>0.99362414956234213</v>
      </c>
      <c r="AA17" s="71">
        <f t="shared" si="3"/>
        <v>0.15857063655338388</v>
      </c>
      <c r="AB17" s="71">
        <f t="shared" si="4"/>
        <v>0.25541332127018235</v>
      </c>
      <c r="AC17" s="17"/>
      <c r="AE17" s="20"/>
      <c r="AF17" s="21"/>
      <c r="AG17" s="21"/>
    </row>
    <row r="18" spans="2:33" ht="16" x14ac:dyDescent="0.4">
      <c r="B18" s="75">
        <v>45292</v>
      </c>
      <c r="C18" s="76">
        <v>3815.95</v>
      </c>
      <c r="D18" s="76">
        <v>1235</v>
      </c>
      <c r="E18" s="76">
        <v>881.48</v>
      </c>
      <c r="F18" s="76">
        <v>1104.27</v>
      </c>
      <c r="G18" s="76">
        <v>4142</v>
      </c>
      <c r="H18" s="76">
        <v>818.65</v>
      </c>
      <c r="I18" s="76">
        <v>1651.59</v>
      </c>
      <c r="J18" s="76">
        <v>1028.1500000000001</v>
      </c>
      <c r="K18" s="76">
        <v>1627.3</v>
      </c>
      <c r="L18" s="76">
        <v>175.9</v>
      </c>
      <c r="M18" s="77">
        <v>1086.4000000000001</v>
      </c>
      <c r="N18" s="77">
        <v>441.55</v>
      </c>
      <c r="O18" s="76">
        <v>21725.7</v>
      </c>
      <c r="Q18" s="107" t="s">
        <v>12</v>
      </c>
      <c r="R18" s="22">
        <v>0.06</v>
      </c>
      <c r="S18" s="23">
        <f>AVERAGE(N34:N57)</f>
        <v>1.3367271311254534E-2</v>
      </c>
      <c r="T18" s="14">
        <f t="shared" si="1"/>
        <v>0.1604072557350544</v>
      </c>
      <c r="U18" s="14">
        <f>_xlfn.VAR.S(N34:N57)</f>
        <v>3.5744607874743438E-3</v>
      </c>
      <c r="V18" s="14">
        <f t="shared" si="6"/>
        <v>5.9786794423805197E-2</v>
      </c>
      <c r="W18" s="15">
        <f t="shared" si="7"/>
        <v>447.26251926575236</v>
      </c>
      <c r="X18" s="16">
        <f t="shared" si="2"/>
        <v>0.20710753112741248</v>
      </c>
      <c r="Z18" s="70">
        <f>SLOPE(N34:N57,O34:O57)</f>
        <v>1.0294576204575248</v>
      </c>
      <c r="AA18" s="71">
        <f t="shared" si="3"/>
        <v>0.16212542941707495</v>
      </c>
      <c r="AB18" s="71">
        <f t="shared" si="4"/>
        <v>-1.7181736820205407E-3</v>
      </c>
      <c r="AC18" s="17"/>
      <c r="AE18" s="20"/>
      <c r="AF18" s="21"/>
      <c r="AG18" s="21"/>
    </row>
    <row r="19" spans="2:33" x14ac:dyDescent="0.35">
      <c r="B19" s="75">
        <v>45323</v>
      </c>
      <c r="C19" s="76">
        <v>4095.1</v>
      </c>
      <c r="D19" s="76">
        <v>1151</v>
      </c>
      <c r="E19" s="76">
        <v>947.28</v>
      </c>
      <c r="F19" s="76">
        <v>1175.44</v>
      </c>
      <c r="G19" s="76">
        <v>4679.25</v>
      </c>
      <c r="H19" s="76">
        <v>800.1</v>
      </c>
      <c r="I19" s="76">
        <v>1664.52</v>
      </c>
      <c r="J19" s="76">
        <v>1052.2</v>
      </c>
      <c r="K19" s="76">
        <v>1593.8</v>
      </c>
      <c r="L19" s="76">
        <v>169.9</v>
      </c>
      <c r="M19" s="77">
        <v>1165.8499999999999</v>
      </c>
      <c r="N19" s="77">
        <v>406.3</v>
      </c>
      <c r="O19" s="76">
        <v>21982.799999999999</v>
      </c>
      <c r="R19" s="24">
        <f>SUM(R7:R18)</f>
        <v>1</v>
      </c>
      <c r="AC19" s="19"/>
      <c r="AE19" s="25"/>
      <c r="AF19" s="21"/>
      <c r="AG19" s="21"/>
    </row>
    <row r="20" spans="2:33" x14ac:dyDescent="0.35">
      <c r="B20" s="75">
        <v>45352</v>
      </c>
      <c r="C20" s="76">
        <v>3876.3</v>
      </c>
      <c r="D20" s="76">
        <v>1129.5999999999999</v>
      </c>
      <c r="E20" s="76">
        <v>989.75</v>
      </c>
      <c r="F20" s="76">
        <v>1082.74</v>
      </c>
      <c r="G20" s="76">
        <v>5374.05</v>
      </c>
      <c r="H20" s="76">
        <v>830.2</v>
      </c>
      <c r="I20" s="76">
        <v>1489.66</v>
      </c>
      <c r="J20" s="76">
        <v>1093.3</v>
      </c>
      <c r="K20" s="76">
        <v>1643.85</v>
      </c>
      <c r="L20" s="76">
        <v>171.25</v>
      </c>
      <c r="M20" s="77">
        <v>1134.25</v>
      </c>
      <c r="N20" s="77">
        <v>428.35</v>
      </c>
      <c r="O20" s="76">
        <v>22326.9</v>
      </c>
      <c r="AC20" s="21"/>
      <c r="AE20" s="26"/>
      <c r="AF20" s="21"/>
      <c r="AG20" s="21"/>
    </row>
    <row r="21" spans="2:33" x14ac:dyDescent="0.35">
      <c r="B21" s="75">
        <v>45383</v>
      </c>
      <c r="C21" s="76">
        <v>3820.65</v>
      </c>
      <c r="D21" s="76">
        <v>1271.2</v>
      </c>
      <c r="E21" s="76">
        <v>1004.8</v>
      </c>
      <c r="F21" s="76">
        <v>1094.74</v>
      </c>
      <c r="G21" s="76">
        <v>5841.7</v>
      </c>
      <c r="H21" s="76">
        <v>882.2</v>
      </c>
      <c r="I21" s="76">
        <v>1412.59</v>
      </c>
      <c r="J21" s="76">
        <v>1150.4000000000001</v>
      </c>
      <c r="K21" s="76">
        <v>1615</v>
      </c>
      <c r="L21" s="76">
        <v>192.65</v>
      </c>
      <c r="M21" s="77">
        <v>1177</v>
      </c>
      <c r="N21" s="77">
        <v>435.65</v>
      </c>
      <c r="O21" s="76">
        <v>22604.85</v>
      </c>
      <c r="W21" s="1" t="s">
        <v>23</v>
      </c>
      <c r="AC21" s="21"/>
      <c r="AE21" s="26"/>
      <c r="AF21" s="21"/>
      <c r="AG21" s="21"/>
    </row>
    <row r="22" spans="2:33" ht="16" x14ac:dyDescent="0.4">
      <c r="B22" s="75">
        <v>45413</v>
      </c>
      <c r="C22" s="76">
        <v>3670.95</v>
      </c>
      <c r="D22" s="76">
        <v>1560.25</v>
      </c>
      <c r="E22" s="76">
        <v>920.16</v>
      </c>
      <c r="F22" s="76">
        <v>1047.23</v>
      </c>
      <c r="G22" s="76">
        <v>6974</v>
      </c>
      <c r="H22" s="76">
        <v>880.55</v>
      </c>
      <c r="I22" s="76">
        <v>1406.9</v>
      </c>
      <c r="J22" s="76">
        <v>1121.05</v>
      </c>
      <c r="K22" s="76">
        <v>1528.6</v>
      </c>
      <c r="L22" s="76">
        <v>224</v>
      </c>
      <c r="M22" s="77">
        <v>1159.4000000000001</v>
      </c>
      <c r="N22" s="77">
        <v>426.45</v>
      </c>
      <c r="O22" s="76">
        <v>22530.7</v>
      </c>
      <c r="Q22" s="56" t="s">
        <v>24</v>
      </c>
      <c r="R22" s="57">
        <f>SUMPRODUCT(R7:R18,T7:T18)</f>
        <v>0.25206153537163095</v>
      </c>
      <c r="W22" s="1" t="s">
        <v>23</v>
      </c>
      <c r="AC22" s="21"/>
      <c r="AE22" s="26"/>
      <c r="AF22" s="17"/>
      <c r="AG22" s="17"/>
    </row>
    <row r="23" spans="2:33" x14ac:dyDescent="0.35">
      <c r="B23" s="75">
        <v>45444</v>
      </c>
      <c r="C23" s="76">
        <v>3904.15</v>
      </c>
      <c r="D23" s="76">
        <v>1670.35</v>
      </c>
      <c r="E23" s="76">
        <v>989.75</v>
      </c>
      <c r="F23" s="76">
        <v>1083.98</v>
      </c>
      <c r="G23" s="76">
        <v>7704.5</v>
      </c>
      <c r="H23" s="76">
        <v>931.5</v>
      </c>
      <c r="I23" s="76">
        <v>1566.75</v>
      </c>
      <c r="J23" s="76">
        <v>1199.5999999999999</v>
      </c>
      <c r="K23" s="76">
        <v>1588.15</v>
      </c>
      <c r="L23" s="76">
        <v>241.89</v>
      </c>
      <c r="M23" s="77">
        <v>1276.5</v>
      </c>
      <c r="N23" s="77">
        <v>424.9</v>
      </c>
      <c r="O23" s="76">
        <v>24010.6</v>
      </c>
      <c r="Q23" s="59" t="s">
        <v>25</v>
      </c>
      <c r="R23" s="27">
        <f>SUMPRODUCT(R7:R18,Z7:Z18)</f>
        <v>1.080011669414908</v>
      </c>
      <c r="AC23" s="17"/>
      <c r="AE23" s="26"/>
      <c r="AF23" s="17"/>
      <c r="AG23" s="17"/>
    </row>
    <row r="24" spans="2:33" ht="15" thickBot="1" x14ac:dyDescent="0.4">
      <c r="B24" s="75">
        <v>45474</v>
      </c>
      <c r="C24" s="76">
        <v>4385.3500000000004</v>
      </c>
      <c r="D24" s="76">
        <v>1733.5</v>
      </c>
      <c r="E24" s="76">
        <v>1156.6500000000001</v>
      </c>
      <c r="F24" s="76">
        <v>1188.95</v>
      </c>
      <c r="G24" s="76">
        <v>7132.9</v>
      </c>
      <c r="H24" s="76">
        <v>928.25</v>
      </c>
      <c r="I24" s="76">
        <v>1868.25</v>
      </c>
      <c r="J24" s="76">
        <v>1214.9000000000001</v>
      </c>
      <c r="K24" s="76">
        <v>1651.65</v>
      </c>
      <c r="L24" s="76">
        <v>257.08999999999997</v>
      </c>
      <c r="M24" s="77">
        <v>1413.3</v>
      </c>
      <c r="N24" s="77">
        <v>495.35</v>
      </c>
      <c r="O24" s="76">
        <v>24951.15</v>
      </c>
      <c r="Q24" s="60" t="s">
        <v>34</v>
      </c>
      <c r="R24" s="28">
        <v>0.06</v>
      </c>
      <c r="AA24" s="1" t="s">
        <v>23</v>
      </c>
      <c r="AC24" s="17"/>
      <c r="AE24" s="26"/>
      <c r="AF24" s="29"/>
      <c r="AG24" s="17"/>
    </row>
    <row r="25" spans="2:33" ht="15" thickBot="1" x14ac:dyDescent="0.4">
      <c r="B25" s="75">
        <v>45505</v>
      </c>
      <c r="C25" s="76">
        <v>4553.75</v>
      </c>
      <c r="D25" s="76">
        <v>1587</v>
      </c>
      <c r="E25" s="76">
        <v>1111.3499999999999</v>
      </c>
      <c r="F25" s="76">
        <v>1200.1500000000001</v>
      </c>
      <c r="G25" s="76">
        <v>6893.1</v>
      </c>
      <c r="H25" s="76">
        <v>941.1</v>
      </c>
      <c r="I25" s="76">
        <v>1943.7</v>
      </c>
      <c r="J25" s="76">
        <v>1229.2</v>
      </c>
      <c r="K25" s="76">
        <v>1783.05</v>
      </c>
      <c r="L25" s="76">
        <v>256.45</v>
      </c>
      <c r="M25" s="77">
        <v>1474.35</v>
      </c>
      <c r="N25" s="77">
        <v>501.9</v>
      </c>
      <c r="O25" s="76">
        <v>25235.9</v>
      </c>
      <c r="Q25" s="58" t="s">
        <v>33</v>
      </c>
      <c r="R25" s="90">
        <f>R24+(T6-R24)*R23</f>
        <v>0.16714054986103266</v>
      </c>
      <c r="AC25" s="30"/>
      <c r="AE25" s="17"/>
      <c r="AF25" s="31"/>
      <c r="AG25" s="17"/>
    </row>
    <row r="26" spans="2:33" ht="16.25" customHeight="1" x14ac:dyDescent="0.35">
      <c r="B26" s="75">
        <v>45536</v>
      </c>
      <c r="C26" s="76">
        <v>4268.5</v>
      </c>
      <c r="D26" s="76">
        <v>1516.6</v>
      </c>
      <c r="E26" s="76">
        <v>974.65</v>
      </c>
      <c r="F26" s="76">
        <v>1196.95</v>
      </c>
      <c r="G26" s="76">
        <v>7250</v>
      </c>
      <c r="H26" s="76">
        <v>1030.05</v>
      </c>
      <c r="I26" s="76">
        <v>1875.6</v>
      </c>
      <c r="J26" s="76">
        <v>1273</v>
      </c>
      <c r="K26" s="76">
        <v>1973.4</v>
      </c>
      <c r="L26" s="76">
        <v>235.4</v>
      </c>
      <c r="M26" s="77">
        <v>1589.9</v>
      </c>
      <c r="N26" s="77">
        <v>518.15</v>
      </c>
      <c r="O26" s="76">
        <v>25810.85</v>
      </c>
      <c r="AC26" s="30"/>
      <c r="AE26" s="17"/>
      <c r="AF26" s="31"/>
      <c r="AG26" s="17"/>
    </row>
    <row r="27" spans="2:33" x14ac:dyDescent="0.35">
      <c r="B27" s="75">
        <v>45566</v>
      </c>
      <c r="C27" s="76">
        <v>3906.18</v>
      </c>
      <c r="D27" s="76">
        <v>1410.15</v>
      </c>
      <c r="E27" s="76">
        <v>834.05</v>
      </c>
      <c r="F27" s="76">
        <v>1002.55</v>
      </c>
      <c r="G27" s="76">
        <v>6976.3</v>
      </c>
      <c r="H27" s="76">
        <v>963.65</v>
      </c>
      <c r="I27" s="76">
        <v>1757.25</v>
      </c>
      <c r="J27" s="76">
        <v>1292.25</v>
      </c>
      <c r="K27" s="76">
        <v>1750.75</v>
      </c>
      <c r="L27" s="76">
        <v>208.18</v>
      </c>
      <c r="M27" s="77">
        <v>1449.1</v>
      </c>
      <c r="N27" s="77">
        <v>462.41</v>
      </c>
      <c r="O27" s="76">
        <v>24205.35</v>
      </c>
      <c r="AC27" s="3"/>
      <c r="AE27" s="30"/>
      <c r="AF27" s="31"/>
      <c r="AG27" s="17"/>
    </row>
    <row r="28" spans="2:33" ht="16" x14ac:dyDescent="0.4">
      <c r="B28" s="75">
        <v>45597</v>
      </c>
      <c r="C28" s="76">
        <v>4203.84</v>
      </c>
      <c r="D28" s="76">
        <v>1332.25</v>
      </c>
      <c r="E28" s="76">
        <v>786.45</v>
      </c>
      <c r="F28" s="76">
        <v>958.65</v>
      </c>
      <c r="G28" s="76">
        <v>7560.85</v>
      </c>
      <c r="H28" s="76">
        <v>966</v>
      </c>
      <c r="I28" s="76">
        <v>1857.85</v>
      </c>
      <c r="J28" s="76">
        <v>1300.0999999999999</v>
      </c>
      <c r="K28" s="76">
        <v>1579.95</v>
      </c>
      <c r="L28" s="76">
        <v>232.08</v>
      </c>
      <c r="M28" s="77">
        <v>1529.1</v>
      </c>
      <c r="N28" s="77">
        <v>451.01</v>
      </c>
      <c r="O28" s="76">
        <v>24131.1</v>
      </c>
      <c r="Q28" s="63" t="s">
        <v>26</v>
      </c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E28" s="3"/>
      <c r="AF28" s="31"/>
      <c r="AG28" s="17"/>
    </row>
    <row r="29" spans="2:33" x14ac:dyDescent="0.35">
      <c r="B29" s="75">
        <v>45627</v>
      </c>
      <c r="C29" s="76">
        <v>4030.55</v>
      </c>
      <c r="D29" s="76">
        <v>1299.5</v>
      </c>
      <c r="E29" s="76">
        <v>740.15</v>
      </c>
      <c r="F29" s="76">
        <v>914.7</v>
      </c>
      <c r="G29" s="76">
        <v>6536.05</v>
      </c>
      <c r="H29" s="76">
        <v>901.5</v>
      </c>
      <c r="I29" s="76">
        <v>1880</v>
      </c>
      <c r="J29" s="76">
        <v>1281.6500000000001</v>
      </c>
      <c r="K29" s="76">
        <v>1568.1</v>
      </c>
      <c r="L29" s="76">
        <v>220.5</v>
      </c>
      <c r="M29" s="77">
        <v>1625.45</v>
      </c>
      <c r="N29" s="77">
        <v>457.54</v>
      </c>
      <c r="O29" s="76">
        <v>23644.799999999999</v>
      </c>
      <c r="Q29" s="64"/>
      <c r="R29" s="67" t="str">
        <f t="array" ref="R29:AC29">TRANSPOSE(Q30:Q41)</f>
        <v>Tata Consultancy Services Ltd.</v>
      </c>
      <c r="S29" s="67" t="str">
        <v>Bharat Forge Ltd</v>
      </c>
      <c r="T29" s="67" t="str">
        <v>Tata Motors Ltd</v>
      </c>
      <c r="U29" s="67" t="str">
        <v>Tata Consumer Products Ltd</v>
      </c>
      <c r="V29" s="67" t="str">
        <v>Siemens Ltd</v>
      </c>
      <c r="W29" s="67" t="str">
        <v>JSW Steel Ltd</v>
      </c>
      <c r="X29" s="67" t="str">
        <v>Infosys Ltd</v>
      </c>
      <c r="Y29" s="67" t="str">
        <v>ICICI Bank Ltd</v>
      </c>
      <c r="Z29" s="67" t="str">
        <v>Bajaj Finserv Ltd</v>
      </c>
      <c r="AA29" s="67" t="str">
        <v>Ashok Leyland Ltd.</v>
      </c>
      <c r="AB29" s="67" t="str">
        <v>SOM Distilleries &amp; Breweries ltd</v>
      </c>
      <c r="AC29" s="67" t="str">
        <v>ITC Ltd </v>
      </c>
      <c r="AE29" s="3"/>
      <c r="AF29" s="31"/>
      <c r="AG29" s="17"/>
    </row>
    <row r="30" spans="2:33" x14ac:dyDescent="0.35">
      <c r="B30" s="32"/>
      <c r="C30" s="33"/>
      <c r="D30" s="33"/>
      <c r="E30" s="33"/>
      <c r="F30" s="33"/>
      <c r="G30" s="33"/>
      <c r="J30" s="33"/>
      <c r="K30" s="33"/>
      <c r="L30" s="33"/>
      <c r="M30" s="33"/>
      <c r="Q30" s="65" t="s">
        <v>2</v>
      </c>
      <c r="R30" s="83">
        <f>_xlfn.COVARIANCE.S($C$34:$C$2230,C$34:C$2230)</f>
        <v>2.922996511033464E-3</v>
      </c>
      <c r="S30" s="34"/>
      <c r="T30" s="34"/>
      <c r="U30" s="34"/>
      <c r="V30" s="34"/>
      <c r="W30" s="34"/>
      <c r="X30" s="34"/>
      <c r="Y30" s="34"/>
      <c r="Z30" s="34"/>
      <c r="AA30" s="34"/>
      <c r="AC30" s="3"/>
      <c r="AE30" s="3"/>
      <c r="AF30" s="31"/>
      <c r="AG30" s="17"/>
    </row>
    <row r="31" spans="2:33" x14ac:dyDescent="0.35">
      <c r="B31" s="32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Q31" s="65" t="s">
        <v>3</v>
      </c>
      <c r="R31" s="36">
        <f>_xlfn.COVARIANCE.S($D$34:$D$2230,C$34:C$2230)</f>
        <v>5.9177113918463696E-4</v>
      </c>
      <c r="S31" s="83">
        <f>_xlfn.COVARIANCE.S($D$34:$D$2230,D$34:D$2230)</f>
        <v>7.2714111215081449E-3</v>
      </c>
      <c r="T31" s="37"/>
      <c r="U31" s="38"/>
      <c r="V31" s="37"/>
      <c r="W31" s="37"/>
      <c r="X31" s="37"/>
      <c r="Y31" s="37"/>
      <c r="Z31" s="37"/>
      <c r="AA31" s="37"/>
      <c r="AC31" s="3"/>
      <c r="AE31" s="3"/>
      <c r="AF31" s="31"/>
      <c r="AG31" s="17"/>
    </row>
    <row r="32" spans="2:33" x14ac:dyDescent="0.35">
      <c r="Q32" s="65" t="s">
        <v>4</v>
      </c>
      <c r="R32" s="36">
        <f>_xlfn.COVARIANCE.S($E$34:$E$2230,C$34:C$2230)</f>
        <v>3.1029659263769262E-3</v>
      </c>
      <c r="S32" s="36">
        <f>_xlfn.COVARIANCE.S($E$34:$E$2230,D$34:D$2230)</f>
        <v>1.8259833813362443E-3</v>
      </c>
      <c r="T32" s="83">
        <f>_xlfn.COVARIANCE.S($E$34:$E$2230,E$34:E$2230)</f>
        <v>8.5507657535069965E-3</v>
      </c>
      <c r="U32" s="38"/>
      <c r="V32" s="37"/>
      <c r="W32" s="37"/>
      <c r="X32" s="37"/>
      <c r="Y32" s="37"/>
      <c r="Z32" s="37"/>
      <c r="AA32" s="37"/>
      <c r="AC32" s="3"/>
      <c r="AE32" s="3"/>
      <c r="AF32" s="31"/>
      <c r="AG32" s="17"/>
    </row>
    <row r="33" spans="2:33" ht="16" x14ac:dyDescent="0.4">
      <c r="B33" s="73" t="s">
        <v>1</v>
      </c>
      <c r="C33" s="74" t="s">
        <v>2</v>
      </c>
      <c r="D33" s="74" t="s">
        <v>3</v>
      </c>
      <c r="E33" s="74" t="s">
        <v>4</v>
      </c>
      <c r="F33" s="74" t="s">
        <v>5</v>
      </c>
      <c r="G33" s="74" t="s">
        <v>6</v>
      </c>
      <c r="H33" s="74" t="s">
        <v>7</v>
      </c>
      <c r="I33" s="74" t="s">
        <v>8</v>
      </c>
      <c r="J33" s="74" t="s">
        <v>9</v>
      </c>
      <c r="K33" s="74" t="s">
        <v>10</v>
      </c>
      <c r="L33" s="74" t="s">
        <v>11</v>
      </c>
      <c r="M33" s="74" t="s">
        <v>38</v>
      </c>
      <c r="N33" s="74" t="s">
        <v>12</v>
      </c>
      <c r="O33" s="74" t="s">
        <v>13</v>
      </c>
      <c r="Q33" s="65" t="s">
        <v>5</v>
      </c>
      <c r="R33" s="36">
        <f>_xlfn.COVARIANCE.S($F$34:$F$2230,C$34:C$2230)</f>
        <v>2.4679549911931975E-3</v>
      </c>
      <c r="S33" s="36">
        <f>_xlfn.COVARIANCE.S($F$34:$F$2230,D$34:D$2230)</f>
        <v>1.2394570921998825E-3</v>
      </c>
      <c r="T33" s="36">
        <f>_xlfn.COVARIANCE.S($F$34:$F$2230,E$34:E$2230)</f>
        <v>4.6487718674004747E-3</v>
      </c>
      <c r="U33" s="83">
        <f>_xlfn.COVARIANCE.S($F$34:$F$2230,F$34:F$2230)</f>
        <v>4.3452839633811588E-3</v>
      </c>
      <c r="V33" s="37"/>
      <c r="W33" s="37"/>
      <c r="X33" s="37"/>
      <c r="Y33" s="37"/>
      <c r="Z33" s="37"/>
      <c r="AA33" s="37"/>
      <c r="AC33" s="3"/>
      <c r="AE33" s="3"/>
      <c r="AF33" s="31"/>
      <c r="AG33" s="17"/>
    </row>
    <row r="34" spans="2:33" x14ac:dyDescent="0.35">
      <c r="B34" s="75">
        <v>44927</v>
      </c>
      <c r="C34" s="78" t="s">
        <v>22</v>
      </c>
      <c r="D34" s="78" t="s">
        <v>22</v>
      </c>
      <c r="E34" s="78" t="s">
        <v>22</v>
      </c>
      <c r="F34" s="78" t="s">
        <v>22</v>
      </c>
      <c r="G34" s="78" t="s">
        <v>22</v>
      </c>
      <c r="H34" s="78" t="s">
        <v>22</v>
      </c>
      <c r="I34" s="78" t="s">
        <v>22</v>
      </c>
      <c r="J34" s="78" t="s">
        <v>22</v>
      </c>
      <c r="K34" s="78" t="s">
        <v>22</v>
      </c>
      <c r="L34" s="78" t="s">
        <v>22</v>
      </c>
      <c r="M34" s="78" t="s">
        <v>22</v>
      </c>
      <c r="N34" s="78" t="s">
        <v>22</v>
      </c>
      <c r="O34" s="78" t="s">
        <v>22</v>
      </c>
      <c r="Q34" s="65" t="s">
        <v>6</v>
      </c>
      <c r="R34" s="39">
        <f>_xlfn.COVARIANCE.S($G$34:$G$2230,C$34:C$2230)</f>
        <v>3.1721711341590938E-4</v>
      </c>
      <c r="S34" s="39">
        <f>_xlfn.COVARIANCE.S($G$34:$G$2230,D$34:D$2230)</f>
        <v>2.5756127721574431E-3</v>
      </c>
      <c r="T34" s="39">
        <f>_xlfn.COVARIANCE.S($G$34:$G$2230,E$34:E$2230)</f>
        <v>6.8664626140335671E-4</v>
      </c>
      <c r="U34" s="39">
        <f>_xlfn.COVARIANCE.S($G$34:$G$2230,F$34:F$2230)</f>
        <v>2.1302449182635517E-4</v>
      </c>
      <c r="V34" s="82">
        <f>_xlfn.COVARIANCE.S($G$34:$G$2230,G$34:G$2230)</f>
        <v>6.8971757098040118E-3</v>
      </c>
      <c r="W34" s="37"/>
      <c r="X34" s="37"/>
      <c r="Y34" s="37"/>
      <c r="Z34" s="37"/>
      <c r="AA34" s="37"/>
      <c r="AC34" s="3"/>
      <c r="AE34" s="3"/>
      <c r="AF34" s="17"/>
      <c r="AG34" s="17"/>
    </row>
    <row r="35" spans="2:33" x14ac:dyDescent="0.35">
      <c r="B35" s="75">
        <v>44958</v>
      </c>
      <c r="C35" s="79">
        <f>'[1]PORTFOLIO-1'!C8/'[1]PORTFOLIO-1'!C7-1</f>
        <v>-1.3651550455998862E-2</v>
      </c>
      <c r="D35" s="79">
        <f>'[1]PORTFOLIO-1'!D8/'[1]PORTFOLIO-1'!D7-1</f>
        <v>-6.6468367463676903E-2</v>
      </c>
      <c r="E35" s="79">
        <f>'[1]PORTFOLIO-1'!E8/'[1]PORTFOLIO-1'!E7-1</f>
        <v>-6.9445985223314244E-2</v>
      </c>
      <c r="F35" s="79">
        <f>'[1]PORTFOLIO-1'!F8/'[1]PORTFOLIO-1'!F7-1</f>
        <v>-1.9457629000471877E-2</v>
      </c>
      <c r="G35" s="79">
        <f>'[1]PORTFOLIO-1'!G8/'[1]PORTFOLIO-1'!G7-1</f>
        <v>0.10939875958926337</v>
      </c>
      <c r="H35" s="79">
        <f>'[1]PORTFOLIO-1'!H8/'[1]PORTFOLIO-1'!H7-1</f>
        <v>-6.8741712610789318E-2</v>
      </c>
      <c r="I35" s="79">
        <f>'[1]PORTFOLIO-1'!I8/'[1]PORTFOLIO-1'!I7-1</f>
        <v>-3.0127986571900633E-2</v>
      </c>
      <c r="J35" s="79">
        <f>'[1]PORTFOLIO-1'!J8/'[1]PORTFOLIO-1'!J7-1</f>
        <v>2.7587450414713333E-2</v>
      </c>
      <c r="K35" s="79">
        <f>'[1]PORTFOLIO-1'!K8/'[1]PORTFOLIO-1'!K7-1</f>
        <v>-5.6240455882899942E-3</v>
      </c>
      <c r="L35" s="79">
        <f>'[1]PORTFOLIO-1'!L8/'[1]PORTFOLIO-1'!L7-1</f>
        <v>-2.6755852842809347E-2</v>
      </c>
      <c r="M35" s="79">
        <f>'[1]PORTFOLIO-1'!M8/'[1]PORTFOLIO-1'!M7-1</f>
        <v>-3.6492551876666779E-2</v>
      </c>
      <c r="N35" s="79">
        <f>'[1]PORTFOLIO-1'!N8/'[1]PORTFOLIO-1'!N7-1</f>
        <v>6.9105342813901016E-2</v>
      </c>
      <c r="O35" s="79">
        <f>'[1]PORTFOLIO-1'!O8/'[1]PORTFOLIO-1'!O7-1</f>
        <v>-2.0280656658447582E-2</v>
      </c>
      <c r="Q35" s="65" t="s">
        <v>7</v>
      </c>
      <c r="R35" s="39">
        <f>_xlfn.COVARIANCE.S($H$34:$H$2230,C$34:C$2230)</f>
        <v>6.7417946715561834E-4</v>
      </c>
      <c r="S35" s="39">
        <f>_xlfn.COVARIANCE.S($H$34:$H$2230,D$34:D$2230)</f>
        <v>1.8595976151470877E-3</v>
      </c>
      <c r="T35" s="39">
        <f t="shared" ref="T35:W35" si="8">_xlfn.COVARIANCE.S($H$34:$H$2230,E$34:E$2230)</f>
        <v>1.9773250598737286E-3</v>
      </c>
      <c r="U35" s="39">
        <f t="shared" si="8"/>
        <v>1.7410366696917568E-3</v>
      </c>
      <c r="V35" s="39">
        <f t="shared" si="8"/>
        <v>2.0975620062927765E-3</v>
      </c>
      <c r="W35" s="82">
        <f t="shared" si="8"/>
        <v>3.6074904526718081E-3</v>
      </c>
      <c r="X35" s="37"/>
      <c r="Y35" s="37"/>
      <c r="Z35" s="37"/>
      <c r="AA35" s="37"/>
      <c r="AC35" s="19"/>
      <c r="AE35" s="3"/>
      <c r="AF35" s="17"/>
      <c r="AG35" s="17"/>
    </row>
    <row r="36" spans="2:33" x14ac:dyDescent="0.35">
      <c r="B36" s="75">
        <v>44986</v>
      </c>
      <c r="C36" s="79">
        <f>'[1]PORTFOLIO-1'!C9/'[1]PORTFOLIO-1'!C8-1</f>
        <v>-3.2284379103400429E-2</v>
      </c>
      <c r="D36" s="79">
        <f>'[1]PORTFOLIO-1'!D9/'[1]PORTFOLIO-1'!D8-1</f>
        <v>-5.5821078431372517E-2</v>
      </c>
      <c r="E36" s="79">
        <f>'[1]PORTFOLIO-1'!E9/'[1]PORTFOLIO-1'!E8-1</f>
        <v>2.384301757230034E-4</v>
      </c>
      <c r="F36" s="79">
        <f>'[1]PORTFOLIO-1'!F9/'[1]PORTFOLIO-1'!F8-1</f>
        <v>-9.0160221932854556E-3</v>
      </c>
      <c r="G36" s="79">
        <f>'[1]PORTFOLIO-1'!G9/'[1]PORTFOLIO-1'!G8-1</f>
        <v>2.4810571058954123E-2</v>
      </c>
      <c r="H36" s="79">
        <f>'[1]PORTFOLIO-1'!H9/'[1]PORTFOLIO-1'!H8-1</f>
        <v>3.1324940047961602E-2</v>
      </c>
      <c r="I36" s="79">
        <f>'[1]PORTFOLIO-1'!I9/'[1]PORTFOLIO-1'!I8-1</f>
        <v>-4.0061924946424132E-2</v>
      </c>
      <c r="J36" s="79">
        <f>'[1]PORTFOLIO-1'!J9/'[1]PORTFOLIO-1'!J8-1</f>
        <v>2.6203427501900967E-2</v>
      </c>
      <c r="K36" s="79">
        <f>'[1]PORTFOLIO-1'!K9/'[1]PORTFOLIO-1'!K8-1</f>
        <v>-5.1239793242939591E-2</v>
      </c>
      <c r="L36" s="79">
        <f>'[1]PORTFOLIO-1'!L9/'[1]PORTFOLIO-1'!L8-1</f>
        <v>-4.3298969072165017E-2</v>
      </c>
      <c r="M36" s="79">
        <f>'[1]PORTFOLIO-1'!M9/'[1]PORTFOLIO-1'!M8-1</f>
        <v>2.119902781528471E-2</v>
      </c>
      <c r="N36" s="79">
        <f>'[1]PORTFOLIO-1'!N9/'[1]PORTFOLIO-1'!N8-1</f>
        <v>1.8056037821523097E-2</v>
      </c>
      <c r="O36" s="79">
        <f>'[1]PORTFOLIO-1'!O9/'[1]PORTFOLIO-1'!O8-1</f>
        <v>3.2246972512055549E-3</v>
      </c>
      <c r="Q36" s="65" t="s">
        <v>8</v>
      </c>
      <c r="R36" s="39">
        <f>_xlfn.COVARIANCE.S($I$34:$I$2230,C$34:C$2230)</f>
        <v>2.7611238247914386E-3</v>
      </c>
      <c r="S36" s="39">
        <f>_xlfn.COVARIANCE.S($I$34:$I$2230,D$34:D$2230)</f>
        <v>1.2894565710055864E-3</v>
      </c>
      <c r="T36" s="39">
        <f t="shared" ref="T36:X36" si="9">_xlfn.COVARIANCE.S($I$34:$I$2230,E$34:E$2230)</f>
        <v>2.2178644502764654E-3</v>
      </c>
      <c r="U36" s="39">
        <f t="shared" si="9"/>
        <v>1.8906796158033466E-3</v>
      </c>
      <c r="V36" s="39">
        <f t="shared" si="9"/>
        <v>-8.0752622326050766E-4</v>
      </c>
      <c r="W36" s="39">
        <f t="shared" si="9"/>
        <v>-1.5631269129859866E-4</v>
      </c>
      <c r="X36" s="82">
        <f t="shared" si="9"/>
        <v>5.0364695460696288E-3</v>
      </c>
      <c r="Y36" s="37"/>
      <c r="Z36" s="37"/>
      <c r="AA36" s="37"/>
      <c r="AC36" s="17"/>
      <c r="AE36" s="3"/>
      <c r="AF36" s="17"/>
      <c r="AG36" s="17"/>
    </row>
    <row r="37" spans="2:33" x14ac:dyDescent="0.35">
      <c r="B37" s="75">
        <v>45017</v>
      </c>
      <c r="C37" s="79">
        <f>'[1]PORTFOLIO-1'!C10/'[1]PORTFOLIO-1'!C9-1</f>
        <v>4.1646950434175434E-3</v>
      </c>
      <c r="D37" s="79">
        <f>'[1]PORTFOLIO-1'!D10/'[1]PORTFOLIO-1'!D9-1</f>
        <v>4.0106431306379253E-2</v>
      </c>
      <c r="E37" s="79">
        <f>'[1]PORTFOLIO-1'!E10/'[1]PORTFOLIO-1'!E9-1</f>
        <v>0.15243975113823272</v>
      </c>
      <c r="F37" s="79">
        <f>'[1]PORTFOLIO-1'!F10/'[1]PORTFOLIO-1'!F9-1</f>
        <v>7.7583374991073484E-2</v>
      </c>
      <c r="G37" s="79">
        <f>'[1]PORTFOLIO-1'!G10/'[1]PORTFOLIO-1'!G9-1</f>
        <v>3.6803270065972393E-2</v>
      </c>
      <c r="H37" s="79">
        <f>'[1]PORTFOLIO-1'!H10/'[1]PORTFOLIO-1'!H9-1</f>
        <v>5.4061909606161862E-2</v>
      </c>
      <c r="I37" s="79">
        <f>'[1]PORTFOLIO-1'!I10/'[1]PORTFOLIO-1'!I9-1</f>
        <v>-0.12269446107257298</v>
      </c>
      <c r="J37" s="79">
        <f>'[1]PORTFOLIO-1'!J10/'[1]PORTFOLIO-1'!J9-1</f>
        <v>4.6053006554573894E-2</v>
      </c>
      <c r="K37" s="79">
        <f>'[1]PORTFOLIO-1'!K10/'[1]PORTFOLIO-1'!K9-1</f>
        <v>6.9601263324121643E-2</v>
      </c>
      <c r="L37" s="79">
        <f>'[1]PORTFOLIO-1'!L10/'[1]PORTFOLIO-1'!L9-1</f>
        <v>4.8491379310344751E-2</v>
      </c>
      <c r="M37" s="79">
        <f>'[1]PORTFOLIO-1'!M10/'[1]PORTFOLIO-1'!M9-1</f>
        <v>2.7568425228084115E-2</v>
      </c>
      <c r="N37" s="79">
        <f>'[1]PORTFOLIO-1'!N10/'[1]PORTFOLIO-1'!N9-1</f>
        <v>0.10964187327823693</v>
      </c>
      <c r="O37" s="79">
        <f>'[1]PORTFOLIO-1'!O10/'[1]PORTFOLIO-1'!O9-1</f>
        <v>4.0625585045867663E-2</v>
      </c>
      <c r="Q37" s="65" t="s">
        <v>9</v>
      </c>
      <c r="R37" s="36">
        <f>_xlfn.COVARIANCE.S($J$34:$J$2230,C$34:C$2230)</f>
        <v>4.877133028343498E-4</v>
      </c>
      <c r="S37" s="36">
        <f>_xlfn.COVARIANCE.S($J$34:$J$2230,D$34:D$2230)</f>
        <v>6.3664631596969636E-5</v>
      </c>
      <c r="T37" s="36">
        <f t="shared" ref="T37:Y37" si="10">_xlfn.COVARIANCE.S($J$34:$J$2230,E$34:E$2230)</f>
        <v>1.0702062599669236E-3</v>
      </c>
      <c r="U37" s="36">
        <f t="shared" si="10"/>
        <v>5.0202168010625816E-4</v>
      </c>
      <c r="V37" s="36">
        <f t="shared" si="10"/>
        <v>1.1102381495748223E-3</v>
      </c>
      <c r="W37" s="36">
        <f t="shared" si="10"/>
        <v>7.9628767408817744E-4</v>
      </c>
      <c r="X37" s="36">
        <f t="shared" si="10"/>
        <v>-2.1860955035394769E-5</v>
      </c>
      <c r="Y37" s="83">
        <f t="shared" si="10"/>
        <v>1.0105877051592282E-3</v>
      </c>
      <c r="Z37" s="37"/>
      <c r="AA37" s="37"/>
      <c r="AC37" s="17"/>
      <c r="AE37" s="19"/>
      <c r="AF37" s="17"/>
      <c r="AG37" s="17"/>
    </row>
    <row r="38" spans="2:33" x14ac:dyDescent="0.35">
      <c r="B38" s="75">
        <v>45047</v>
      </c>
      <c r="C38" s="79">
        <f>'[1]PORTFOLIO-1'!C11/'[1]PORTFOLIO-1'!C10-1</f>
        <v>2.1823118212457748E-2</v>
      </c>
      <c r="D38" s="79">
        <f>'[1]PORTFOLIO-1'!D11/'[1]PORTFOLIO-1'!D10-1</f>
        <v>-1.2541336494665378E-2</v>
      </c>
      <c r="E38" s="79">
        <f>'[1]PORTFOLIO-1'!E11/'[1]PORTFOLIO-1'!E10-1</f>
        <v>8.5260414512058791E-2</v>
      </c>
      <c r="F38" s="79">
        <f>'[1]PORTFOLIO-1'!F11/'[1]PORTFOLIO-1'!F10-1</f>
        <v>4.5555157925431189E-2</v>
      </c>
      <c r="G38" s="79">
        <f>'[1]PORTFOLIO-1'!G11/'[1]PORTFOLIO-1'!G10-1</f>
        <v>2.9583140074211478E-2</v>
      </c>
      <c r="H38" s="79">
        <f>'[1]PORTFOLIO-1'!H11/'[1]PORTFOLIO-1'!H10-1</f>
        <v>-3.9983455122018507E-2</v>
      </c>
      <c r="I38" s="79">
        <f>'[1]PORTFOLIO-1'!I11/'[1]PORTFOLIO-1'!I10-1</f>
        <v>5.2322734460918507E-2</v>
      </c>
      <c r="J38" s="79">
        <f>'[1]PORTFOLIO-1'!J11/'[1]PORTFOLIO-1'!J10-1</f>
        <v>3.4326813055086447E-2</v>
      </c>
      <c r="K38" s="79">
        <f>'[1]PORTFOLIO-1'!K11/'[1]PORTFOLIO-1'!K10-1</f>
        <v>7.1162292843169661E-2</v>
      </c>
      <c r="L38" s="79">
        <f>'[1]PORTFOLIO-1'!L11/'[1]PORTFOLIO-1'!L10-1</f>
        <v>2.3980815347723894E-3</v>
      </c>
      <c r="M38" s="79">
        <f>'[1]PORTFOLIO-1'!M11/'[1]PORTFOLIO-1'!M10-1</f>
        <v>0.13684616869330246</v>
      </c>
      <c r="N38" s="79">
        <f>'[1]PORTFOLIO-1'!N11/'[1]PORTFOLIO-1'!N10-1</f>
        <v>5.334089941835729E-2</v>
      </c>
      <c r="O38" s="79">
        <f>'[1]PORTFOLIO-1'!O11/'[1]PORTFOLIO-1'!O10-1</f>
        <v>2.5983946858566309E-2</v>
      </c>
      <c r="Q38" s="65" t="s">
        <v>10</v>
      </c>
      <c r="R38" s="39">
        <f>_xlfn.COVARIANCE.S($K$34:$K$2230,C$34:C$2230)</f>
        <v>6.2663750022959428E-4</v>
      </c>
      <c r="S38" s="39">
        <f>_xlfn.COVARIANCE.S($K$34:$K$2230,D$34:D$2230)</f>
        <v>-5.6357291070570901E-5</v>
      </c>
      <c r="T38" s="39">
        <f t="shared" ref="T38:Z38" si="11">_xlfn.COVARIANCE.S($K$34:$K$2230,E$34:E$2230)</f>
        <v>2.416739087451417E-3</v>
      </c>
      <c r="U38" s="39">
        <f t="shared" si="11"/>
        <v>2.0527650803618428E-3</v>
      </c>
      <c r="V38" s="39">
        <f t="shared" si="11"/>
        <v>-2.0126594469879161E-4</v>
      </c>
      <c r="W38" s="39">
        <f t="shared" si="11"/>
        <v>1.7525444706460482E-3</v>
      </c>
      <c r="X38" s="39">
        <f t="shared" si="11"/>
        <v>1.9713734110347501E-4</v>
      </c>
      <c r="Y38" s="39">
        <f t="shared" si="11"/>
        <v>5.5548308193350778E-4</v>
      </c>
      <c r="Z38" s="82">
        <f t="shared" si="11"/>
        <v>3.4302124983692419E-3</v>
      </c>
      <c r="AA38" s="37"/>
      <c r="AC38" s="40"/>
      <c r="AE38" s="17"/>
      <c r="AF38" s="17"/>
      <c r="AG38" s="17"/>
    </row>
    <row r="39" spans="2:33" x14ac:dyDescent="0.35">
      <c r="B39" s="75">
        <v>45078</v>
      </c>
      <c r="C39" s="79">
        <f>'[1]PORTFOLIO-1'!C12/'[1]PORTFOLIO-1'!C11-1</f>
        <v>3.8756020315606765E-3</v>
      </c>
      <c r="D39" s="79">
        <f>'[1]PORTFOLIO-1'!D12/'[1]PORTFOLIO-1'!D11-1</f>
        <v>5.7500315935801849E-2</v>
      </c>
      <c r="E39" s="79">
        <f>'[1]PORTFOLIO-1'!E12/'[1]PORTFOLIO-1'!E11-1</f>
        <v>0.13158496607455983</v>
      </c>
      <c r="F39" s="79">
        <f>'[1]PORTFOLIO-1'!F12/'[1]PORTFOLIO-1'!F11-1</f>
        <v>7.7949901120632825E-2</v>
      </c>
      <c r="G39" s="79">
        <f>'[1]PORTFOLIO-1'!G12/'[1]PORTFOLIO-1'!G11-1</f>
        <v>6.0478932327228119E-2</v>
      </c>
      <c r="H39" s="79">
        <f>'[1]PORTFOLIO-1'!H12/'[1]PORTFOLIO-1'!H11-1</f>
        <v>0.12710038776389498</v>
      </c>
      <c r="I39" s="79">
        <f>'[1]PORTFOLIO-1'!I12/'[1]PORTFOLIO-1'!I11-1</f>
        <v>1.3052002044381394E-2</v>
      </c>
      <c r="J39" s="79">
        <f>'[1]PORTFOLIO-1'!J12/'[1]PORTFOLIO-1'!J11-1</f>
        <v>-1.5329505346889261E-2</v>
      </c>
      <c r="K39" s="79">
        <f>'[1]PORTFOLIO-1'!K12/'[1]PORTFOLIO-1'!K11-1</f>
        <v>5.3030564074290965E-2</v>
      </c>
      <c r="L39" s="79">
        <f>'[1]PORTFOLIO-1'!L12/'[1]PORTFOLIO-1'!L11-1</f>
        <v>0.14422419685577581</v>
      </c>
      <c r="M39" s="79">
        <f>'[1]PORTFOLIO-1'!M12/'[1]PORTFOLIO-1'!M11-1</f>
        <v>3.248443689869851E-2</v>
      </c>
      <c r="N39" s="79">
        <f>'[1]PORTFOLIO-1'!N12/'[1]PORTFOLIO-1'!N11-1</f>
        <v>1.3692480359147163E-2</v>
      </c>
      <c r="O39" s="79">
        <f>'[1]PORTFOLIO-1'!O12/'[1]PORTFOLIO-1'!O11-1</f>
        <v>3.5320808874309328E-2</v>
      </c>
      <c r="Q39" s="65" t="s">
        <v>11</v>
      </c>
      <c r="R39" s="41">
        <f>_xlfn.COVARIANCE.S($L$34:$L$2230,C$34:C$2230)</f>
        <v>1.4479810071601534E-3</v>
      </c>
      <c r="S39" s="41">
        <f>_xlfn.COVARIANCE.S($L$34:$L$2230,D$34:D$2230)</f>
        <v>4.4004048298275956E-3</v>
      </c>
      <c r="T39" s="41">
        <f t="shared" ref="T39:AA39" si="12">_xlfn.COVARIANCE.S($L$34:$L$2230,E$34:E$2230)</f>
        <v>2.5171653211775833E-3</v>
      </c>
      <c r="U39" s="41">
        <f t="shared" si="12"/>
        <v>1.1518274802675213E-3</v>
      </c>
      <c r="V39" s="41">
        <f t="shared" si="12"/>
        <v>3.1185493052076421E-3</v>
      </c>
      <c r="W39" s="41">
        <f t="shared" si="12"/>
        <v>2.2126660860105115E-3</v>
      </c>
      <c r="X39" s="41">
        <f t="shared" si="12"/>
        <v>1.3274285137416461E-3</v>
      </c>
      <c r="Y39" s="41">
        <f t="shared" si="12"/>
        <v>1.7552327691986352E-4</v>
      </c>
      <c r="Z39" s="41">
        <f t="shared" si="12"/>
        <v>3.6880998547483102E-4</v>
      </c>
      <c r="AA39" s="82">
        <f t="shared" si="12"/>
        <v>5.8957091586871076E-3</v>
      </c>
      <c r="AC39" s="42"/>
      <c r="AE39" s="17"/>
      <c r="AF39" s="17"/>
      <c r="AG39" s="17"/>
    </row>
    <row r="40" spans="2:33" ht="16" x14ac:dyDescent="0.4">
      <c r="B40" s="75">
        <v>45108</v>
      </c>
      <c r="C40" s="79">
        <f>'[1]PORTFOLIO-1'!C13/'[1]PORTFOLIO-1'!C12-1</f>
        <v>3.6096525120017597E-2</v>
      </c>
      <c r="D40" s="79">
        <f>'[1]PORTFOLIO-1'!D13/'[1]PORTFOLIO-1'!D12-1</f>
        <v>0.1131094646271511</v>
      </c>
      <c r="E40" s="79">
        <f>'[1]PORTFOLIO-1'!E13/'[1]PORTFOLIO-1'!E12-1</f>
        <v>8.1856767499831617E-2</v>
      </c>
      <c r="F40" s="79">
        <f>'[1]PORTFOLIO-1'!F13/'[1]PORTFOLIO-1'!F12-1</f>
        <v>-1.8581021485776228E-3</v>
      </c>
      <c r="G40" s="79">
        <f>'[1]PORTFOLIO-1'!G13/'[1]PORTFOLIO-1'!G12-1</f>
        <v>5.7494457645793862E-2</v>
      </c>
      <c r="H40" s="79">
        <f>'[1]PORTFOLIO-1'!H13/'[1]PORTFOLIO-1'!H12-1</f>
        <v>4.0711009174311918E-2</v>
      </c>
      <c r="I40" s="79">
        <f>'[1]PORTFOLIO-1'!I13/'[1]PORTFOLIO-1'!I12-1</f>
        <v>1.5120254213038864E-2</v>
      </c>
      <c r="J40" s="79">
        <f>'[1]PORTFOLIO-1'!J13/'[1]PORTFOLIO-1'!J12-1</f>
        <v>6.8157500534988147E-2</v>
      </c>
      <c r="K40" s="79">
        <f>'[1]PORTFOLIO-1'!K13/'[1]PORTFOLIO-1'!K12-1</f>
        <v>4.6007853403141397E-2</v>
      </c>
      <c r="L40" s="79">
        <f>'[1]PORTFOLIO-1'!L13/'[1]PORTFOLIO-1'!L12-1</f>
        <v>9.916367980884111E-2</v>
      </c>
      <c r="M40" s="79">
        <f>'[1]PORTFOLIO-1'!M13/'[1]PORTFOLIO-1'!M12-1</f>
        <v>0.11362639771979821</v>
      </c>
      <c r="N40" s="79">
        <f>'[1]PORTFOLIO-1'!N13/'[1]PORTFOLIO-1'!N12-1</f>
        <v>3.1222320637732448E-2</v>
      </c>
      <c r="O40" s="79">
        <f>'[1]PORTFOLIO-1'!O13/'[1]PORTFOLIO-1'!O12-1</f>
        <v>2.9430847280089489E-2</v>
      </c>
      <c r="Q40" s="107" t="s">
        <v>38</v>
      </c>
      <c r="R40" s="41">
        <f>_xlfn.COVARIANCE.S($M$34:$M$57,C$34:C$57)</f>
        <v>1.6802717602036428E-3</v>
      </c>
      <c r="S40" s="41">
        <f>_xlfn.COVARIANCE.S($M$34:$M$57,D$34:D$57)</f>
        <v>3.2672128358364266E-4</v>
      </c>
      <c r="T40" s="41">
        <f t="shared" ref="T40:AB40" si="13">_xlfn.COVARIANCE.S($M$34:$M$57,E$34:E$57)</f>
        <v>1.9726906211113286E-3</v>
      </c>
      <c r="U40" s="41">
        <f t="shared" si="13"/>
        <v>1.9722212306863365E-3</v>
      </c>
      <c r="V40" s="41">
        <f t="shared" si="13"/>
        <v>-2.269012927800163E-4</v>
      </c>
      <c r="W40" s="41">
        <f t="shared" si="13"/>
        <v>1.014830418922423E-3</v>
      </c>
      <c r="X40" s="41">
        <f t="shared" si="13"/>
        <v>1.8353183297739092E-3</v>
      </c>
      <c r="Y40" s="41">
        <f t="shared" si="13"/>
        <v>6.0661461546632808E-4</v>
      </c>
      <c r="Z40" s="41">
        <f t="shared" si="13"/>
        <v>1.6598149130351428E-3</v>
      </c>
      <c r="AA40" s="41">
        <f t="shared" si="13"/>
        <v>1.0794571558909601E-3</v>
      </c>
      <c r="AB40" s="82">
        <f t="shared" si="13"/>
        <v>3.0084308885580456E-3</v>
      </c>
      <c r="AE40" s="17"/>
      <c r="AF40" s="17"/>
      <c r="AG40" s="17"/>
    </row>
    <row r="41" spans="2:33" x14ac:dyDescent="0.35">
      <c r="B41" s="75">
        <v>45139</v>
      </c>
      <c r="C41" s="79">
        <f>'[1]PORTFOLIO-1'!C14/'[1]PORTFOLIO-1'!C13-1</f>
        <v>-1.8894960462992549E-2</v>
      </c>
      <c r="D41" s="79">
        <f>'[1]PORTFOLIO-1'!D14/'[1]PORTFOLIO-1'!D13-1</f>
        <v>0.14912233614257331</v>
      </c>
      <c r="E41" s="79">
        <f>'[1]PORTFOLIO-1'!E14/'[1]PORTFOLIO-1'!E13-1</f>
        <v>-6.7209490596587429E-2</v>
      </c>
      <c r="F41" s="79">
        <f>'[1]PORTFOLIO-1'!F14/'[1]PORTFOLIO-1'!F13-1</f>
        <v>-2.9030927835051568E-2</v>
      </c>
      <c r="G41" s="79">
        <f>'[1]PORTFOLIO-1'!G14/'[1]PORTFOLIO-1'!G13-1</f>
        <v>-1.5289982425307547E-2</v>
      </c>
      <c r="H41" s="79">
        <f>'[1]PORTFOLIO-1'!H14/'[1]PORTFOLIO-1'!H13-1</f>
        <v>-4.5423936333027215E-2</v>
      </c>
      <c r="I41" s="79">
        <f>'[1]PORTFOLIO-1'!I14/'[1]PORTFOLIO-1'!I13-1</f>
        <v>5.8830947259105537E-2</v>
      </c>
      <c r="J41" s="79">
        <f>'[1]PORTFOLIO-1'!J14/'[1]PORTFOLIO-1'!J13-1</f>
        <v>-3.9617349494139975E-2</v>
      </c>
      <c r="K41" s="79">
        <f>'[1]PORTFOLIO-1'!K14/'[1]PORTFOLIO-1'!K13-1</f>
        <v>-6.8447725708565277E-2</v>
      </c>
      <c r="L41" s="79">
        <f>'[1]PORTFOLIO-1'!L14/'[1]PORTFOLIO-1'!L13-1</f>
        <v>-8.1521739130441251E-4</v>
      </c>
      <c r="M41" s="79">
        <f>'[1]PORTFOLIO-1'!M14/'[1]PORTFOLIO-1'!M13-1</f>
        <v>-8.1704976128366136E-3</v>
      </c>
      <c r="N41" s="79">
        <f>'[1]PORTFOLIO-1'!N14/'[1]PORTFOLIO-1'!N13-1</f>
        <v>-5.5829933433540924E-2</v>
      </c>
      <c r="O41" s="79">
        <f>'[1]PORTFOLIO-1'!O14/'[1]PORTFOLIO-1'!O13-1</f>
        <v>-2.5311585618969512E-2</v>
      </c>
      <c r="Q41" s="66" t="s">
        <v>12</v>
      </c>
      <c r="R41" s="41">
        <f>_xlfn.COVARIANCE.S($N$34:$N$57,C$34:C$57)</f>
        <v>1.099443850398776E-3</v>
      </c>
      <c r="S41" s="41">
        <f>_xlfn.COVARIANCE.S($N$34:$N$57,D$34:D$57)</f>
        <v>5.5979549729507402E-4</v>
      </c>
      <c r="T41" s="41">
        <f t="shared" ref="T41:AC41" si="14">_xlfn.COVARIANCE.S($N$34:$N$57,E$34:E$57)</f>
        <v>2.612709731126379E-3</v>
      </c>
      <c r="U41" s="41">
        <f t="shared" si="14"/>
        <v>1.9173378575925487E-3</v>
      </c>
      <c r="V41" s="41">
        <f t="shared" si="14"/>
        <v>-9.2394147210724401E-5</v>
      </c>
      <c r="W41" s="41">
        <f t="shared" si="14"/>
        <v>1.2481400404329554E-3</v>
      </c>
      <c r="X41" s="41">
        <f t="shared" si="14"/>
        <v>5.772738488322057E-4</v>
      </c>
      <c r="Y41" s="41">
        <f t="shared" si="14"/>
        <v>6.6034361498710408E-4</v>
      </c>
      <c r="Z41" s="41">
        <f t="shared" si="14"/>
        <v>2.087577395390958E-3</v>
      </c>
      <c r="AA41" s="41">
        <f t="shared" si="14"/>
        <v>1.089282123225908E-3</v>
      </c>
      <c r="AB41" s="41">
        <f t="shared" si="14"/>
        <v>1.3571735636898651E-3</v>
      </c>
      <c r="AC41" s="82">
        <f t="shared" si="14"/>
        <v>3.5744607874743438E-3</v>
      </c>
      <c r="AE41" s="17"/>
      <c r="AF41" s="17"/>
      <c r="AG41" s="17"/>
    </row>
    <row r="42" spans="2:33" x14ac:dyDescent="0.35">
      <c r="B42" s="75">
        <v>45170</v>
      </c>
      <c r="C42" s="79">
        <f>'[1]PORTFOLIO-1'!C15/'[1]PORTFOLIO-1'!C14-1</f>
        <v>5.1180371829097515E-2</v>
      </c>
      <c r="D42" s="79">
        <f>'[1]PORTFOLIO-1'!D15/'[1]PORTFOLIO-1'!D14-1</f>
        <v>1.9853319007801185E-2</v>
      </c>
      <c r="E42" s="79">
        <f>'[1]PORTFOLIO-1'!E15/'[1]PORTFOLIO-1'!E14-1</f>
        <v>4.8585496119502691E-2</v>
      </c>
      <c r="F42" s="79">
        <f>'[1]PORTFOLIO-1'!F15/'[1]PORTFOLIO-1'!F14-1</f>
        <v>5.0988338935336275E-2</v>
      </c>
      <c r="G42" s="79">
        <f>'[1]PORTFOLIO-1'!G15/'[1]PORTFOLIO-1'!G14-1</f>
        <v>-6.3639376864434882E-2</v>
      </c>
      <c r="H42" s="79">
        <f>'[1]PORTFOLIO-1'!H15/'[1]PORTFOLIO-1'!H14-1</f>
        <v>-6.4131340986262053E-5</v>
      </c>
      <c r="I42" s="79">
        <f>'[1]PORTFOLIO-1'!I15/'[1]PORTFOLIO-1'!I14-1</f>
        <v>0</v>
      </c>
      <c r="J42" s="79">
        <f>'[1]PORTFOLIO-1'!J15/'[1]PORTFOLIO-1'!J14-1</f>
        <v>-7.1447196870926266E-3</v>
      </c>
      <c r="K42" s="79">
        <f>'[1]PORTFOLIO-1'!K15/'[1]PORTFOLIO-1'!K14-1</f>
        <v>3.4488548592920942E-2</v>
      </c>
      <c r="L42" s="79">
        <f>'[1]PORTFOLIO-1'!L15/'[1]PORTFOLIO-1'!L14-1</f>
        <v>-3.7258634756594966E-2</v>
      </c>
      <c r="M42" s="79">
        <f>'[1]PORTFOLIO-1'!M15/'[1]PORTFOLIO-1'!M14-1</f>
        <v>-2.9775197260673014E-4</v>
      </c>
      <c r="N42" s="79">
        <f>'[1]PORTFOLIO-1'!N15/'[1]PORTFOLIO-1'!N14-1</f>
        <v>1.0689106208778609E-2</v>
      </c>
      <c r="O42" s="79">
        <f>'[1]PORTFOLIO-1'!O15/'[1]PORTFOLIO-1'!O14-1</f>
        <v>1.9970083827608009E-2</v>
      </c>
      <c r="AE42" s="17"/>
    </row>
    <row r="43" spans="2:33" x14ac:dyDescent="0.35">
      <c r="B43" s="75">
        <v>45200</v>
      </c>
      <c r="C43" s="79">
        <f>'[1]PORTFOLIO-1'!C16/'[1]PORTFOLIO-1'!C15-1</f>
        <v>-4.5303260228964803E-2</v>
      </c>
      <c r="D43" s="79">
        <f>'[1]PORTFOLIO-1'!D16/'[1]PORTFOLIO-1'!D15-1</f>
        <v>-6.6187248076218341E-2</v>
      </c>
      <c r="E43" s="79">
        <f>'[1]PORTFOLIO-1'!E16/'[1]PORTFOLIO-1'!E15-1</f>
        <v>-2.4512144653486834E-3</v>
      </c>
      <c r="F43" s="79">
        <f>'[1]PORTFOLIO-1'!F16/'[1]PORTFOLIO-1'!F15-1</f>
        <v>2.6924364702758385E-2</v>
      </c>
      <c r="G43" s="79">
        <f>'[1]PORTFOLIO-1'!G16/'[1]PORTFOLIO-1'!G15-1</f>
        <v>-9.3002042205582058E-2</v>
      </c>
      <c r="H43" s="79">
        <f>'[1]PORTFOLIO-1'!H16/'[1]PORTFOLIO-1'!H15-1</f>
        <v>-5.547716777834788E-2</v>
      </c>
      <c r="I43" s="79">
        <f>'[1]PORTFOLIO-1'!I16/'[1]PORTFOLIO-1'!I15-1</f>
        <v>-4.6713978464491657E-2</v>
      </c>
      <c r="J43" s="79">
        <f>'[1]PORTFOLIO-1'!J16/'[1]PORTFOLIO-1'!J15-1</f>
        <v>-3.8396890429666986E-2</v>
      </c>
      <c r="K43" s="79">
        <f>'[1]PORTFOLIO-1'!K16/'[1]PORTFOLIO-1'!K15-1</f>
        <v>1.902288589514689E-2</v>
      </c>
      <c r="L43" s="79">
        <f>'[1]PORTFOLIO-1'!L16/'[1]PORTFOLIO-1'!L15-1</f>
        <v>-5.2542372881355992E-2</v>
      </c>
      <c r="M43" s="79">
        <f>'[1]PORTFOLIO-1'!M16/'[1]PORTFOLIO-1'!M15-1</f>
        <v>2.4770414494911908E-2</v>
      </c>
      <c r="N43" s="79">
        <f>'[1]PORTFOLIO-1'!N16/'[1]PORTFOLIO-1'!N15-1</f>
        <v>-3.6003600360036025E-2</v>
      </c>
      <c r="O43" s="79">
        <f>'[1]PORTFOLIO-1'!O16/'[1]PORTFOLIO-1'!O15-1</f>
        <v>-2.844950937708457E-2</v>
      </c>
    </row>
    <row r="44" spans="2:33" ht="15" thickBot="1" x14ac:dyDescent="0.4">
      <c r="B44" s="75">
        <v>45231</v>
      </c>
      <c r="C44" s="79">
        <f>'[1]PORTFOLIO-1'!C17/'[1]PORTFOLIO-1'!C16-1</f>
        <v>3.5279627580736106E-2</v>
      </c>
      <c r="D44" s="79">
        <f>'[1]PORTFOLIO-1'!D17/'[1]PORTFOLIO-1'!D16-1</f>
        <v>9.8984647079020993E-2</v>
      </c>
      <c r="E44" s="79">
        <f>'[1]PORTFOLIO-1'!E17/'[1]PORTFOLIO-1'!E16-1</f>
        <v>0.12367564462598923</v>
      </c>
      <c r="F44" s="79">
        <f>'[1]PORTFOLIO-1'!F17/'[1]PORTFOLIO-1'!F16-1</f>
        <v>4.4690539097195003E-2</v>
      </c>
      <c r="G44" s="79">
        <f>'[1]PORTFOLIO-1'!G17/'[1]PORTFOLIO-1'!G16-1</f>
        <v>9.8065116558339271E-2</v>
      </c>
      <c r="H44" s="79">
        <f>'[1]PORTFOLIO-1'!H17/'[1]PORTFOLIO-1'!H16-1</f>
        <v>8.7933727167787135E-2</v>
      </c>
      <c r="I44" s="79">
        <f>'[1]PORTFOLIO-1'!I17/'[1]PORTFOLIO-1'!I16-1</f>
        <v>6.3392443761804307E-2</v>
      </c>
      <c r="J44" s="79">
        <f>'[1]PORTFOLIO-1'!J17/'[1]PORTFOLIO-1'!J16-1</f>
        <v>2.1412574425083264E-2</v>
      </c>
      <c r="K44" s="79">
        <f>'[1]PORTFOLIO-1'!K17/'[1]PORTFOLIO-1'!K16-1</f>
        <v>6.6229173967060628E-2</v>
      </c>
      <c r="L44" s="79">
        <f>'[1]PORTFOLIO-1'!L17/'[1]PORTFOLIO-1'!L16-1</f>
        <v>9.2128801431127227E-2</v>
      </c>
      <c r="M44" s="79">
        <f>'[1]PORTFOLIO-1'!M17/'[1]PORTFOLIO-1'!M16-1</f>
        <v>1.6130594845960022E-2</v>
      </c>
      <c r="N44" s="79">
        <f>'[1]PORTFOLIO-1'!N17/'[1]PORTFOLIO-1'!N16-1</f>
        <v>1.727357609710567E-2</v>
      </c>
      <c r="O44" s="79">
        <f>'[1]PORTFOLIO-1'!O17/'[1]PORTFOLIO-1'!O16-1</f>
        <v>5.5218662865049728E-2</v>
      </c>
    </row>
    <row r="45" spans="2:33" ht="16.5" thickBot="1" x14ac:dyDescent="0.45">
      <c r="B45" s="75">
        <v>45261</v>
      </c>
      <c r="C45" s="79">
        <f>'[1]PORTFOLIO-1'!C18/'[1]PORTFOLIO-1'!C17-1</f>
        <v>8.7685185985349134E-2</v>
      </c>
      <c r="D45" s="79">
        <f>'[1]PORTFOLIO-1'!D18/'[1]PORTFOLIO-1'!D17-1</f>
        <v>0.10542289667484939</v>
      </c>
      <c r="E45" s="79">
        <f>'[1]PORTFOLIO-1'!E18/'[1]PORTFOLIO-1'!E17-1</f>
        <v>0.10411371284949511</v>
      </c>
      <c r="F45" s="79">
        <f>'[1]PORTFOLIO-1'!F18/'[1]PORTFOLIO-1'!F17-1</f>
        <v>0.15525182953077921</v>
      </c>
      <c r="G45" s="79">
        <f>'[1]PORTFOLIO-1'!G18/'[1]PORTFOLIO-1'!G17-1</f>
        <v>0.10036636045494318</v>
      </c>
      <c r="H45" s="79">
        <f>'[1]PORTFOLIO-1'!H18/'[1]PORTFOLIO-1'!H17-1</f>
        <v>9.8801647734365172E-2</v>
      </c>
      <c r="I45" s="79">
        <f>'[1]PORTFOLIO-1'!I18/'[1]PORTFOLIO-1'!I17-1</f>
        <v>6.0304494156835808E-2</v>
      </c>
      <c r="J45" s="79">
        <f>'[1]PORTFOLIO-1'!J18/'[1]PORTFOLIO-1'!J17-1</f>
        <v>6.5939355045724346E-2</v>
      </c>
      <c r="K45" s="79">
        <f>'[1]PORTFOLIO-1'!K18/'[1]PORTFOLIO-1'!K17-1</f>
        <v>7.3498655512398425E-3</v>
      </c>
      <c r="L45" s="79">
        <f>'[1]PORTFOLIO-1'!L18/'[1]PORTFOLIO-1'!L17-1</f>
        <v>-8.7360087360086602E-3</v>
      </c>
      <c r="M45" s="79">
        <f>'[1]PORTFOLIO-1'!M18/'[1]PORTFOLIO-1'!M17-1</f>
        <v>6.5690994899175292E-2</v>
      </c>
      <c r="N45" s="79">
        <f>'[1]PORTFOLIO-1'!N18/'[1]PORTFOLIO-1'!N17-1</f>
        <v>6.034878384580078E-2</v>
      </c>
      <c r="O45" s="79">
        <f>'[1]PORTFOLIO-1'!O18/'[1]PORTFOLIO-1'!O17-1</f>
        <v>7.9384001013254268E-2</v>
      </c>
      <c r="Q45" s="61" t="s">
        <v>27</v>
      </c>
      <c r="R45" s="62" t="s">
        <v>28</v>
      </c>
      <c r="T45" s="84" t="s">
        <v>29</v>
      </c>
      <c r="U45" s="85">
        <f>SUM(Q58,R112)</f>
        <v>1.5054486494821867E-3</v>
      </c>
    </row>
    <row r="46" spans="2:33" x14ac:dyDescent="0.35">
      <c r="B46" s="75">
        <v>45292</v>
      </c>
      <c r="C46" s="79">
        <f>'[1]PORTFOLIO-1'!C19/'[1]PORTFOLIO-1'!C18-1</f>
        <v>1.0604066304546356E-2</v>
      </c>
      <c r="D46" s="79">
        <f>'[1]PORTFOLIO-1'!D19/'[1]PORTFOLIO-1'!D18-1</f>
        <v>-2.7052125812572214E-3</v>
      </c>
      <c r="E46" s="79">
        <f>'[1]PORTFOLIO-1'!E19/'[1]PORTFOLIO-1'!E18-1</f>
        <v>0.13366343000450143</v>
      </c>
      <c r="F46" s="79">
        <f>'[1]PORTFOLIO-1'!F19/'[1]PORTFOLIO-1'!F18-1</f>
        <v>2.870158180090554E-2</v>
      </c>
      <c r="G46" s="79">
        <f>'[1]PORTFOLIO-1'!G19/'[1]PORTFOLIO-1'!G18-1</f>
        <v>2.9145029443188308E-2</v>
      </c>
      <c r="H46" s="79">
        <f>'[1]PORTFOLIO-1'!H19/'[1]PORTFOLIO-1'!H18-1</f>
        <v>-6.9980119284294262E-2</v>
      </c>
      <c r="I46" s="79">
        <f>'[1]PORTFOLIO-1'!I19/'[1]PORTFOLIO-1'!I18-1</f>
        <v>7.6480364999185202E-2</v>
      </c>
      <c r="J46" s="79">
        <f>'[1]PORTFOLIO-1'!J19/'[1]PORTFOLIO-1'!J18-1</f>
        <v>3.165763596227178E-2</v>
      </c>
      <c r="K46" s="79">
        <f>'[1]PORTFOLIO-1'!K19/'[1]PORTFOLIO-1'!K18-1</f>
        <v>-3.4701625341084341E-2</v>
      </c>
      <c r="L46" s="79">
        <f>'[1]PORTFOLIO-1'!L19/'[1]PORTFOLIO-1'!L18-1</f>
        <v>-3.1120903332415351E-2</v>
      </c>
      <c r="M46" s="79">
        <f>'[1]PORTFOLIO-1'!M19/'[1]PORTFOLIO-1'!M18-1</f>
        <v>-2.8047416685305193E-2</v>
      </c>
      <c r="N46" s="79">
        <f>'[1]PORTFOLIO-1'!N19/'[1]PORTFOLIO-1'!N18-1</f>
        <v>-4.4470893745942486E-2</v>
      </c>
      <c r="O46" s="79">
        <f>'[1]PORTFOLIO-1'!O19/'[1]PORTFOLIO-1'!O18-1</f>
        <v>-2.6229327148741266E-4</v>
      </c>
      <c r="Q46" s="43">
        <f t="shared" ref="Q46:Q57" si="15">(R7^2)*U7</f>
        <v>8.8420644458762286E-6</v>
      </c>
      <c r="R46" s="44">
        <f t="shared" ref="R46:R56" si="16">2*$R$7*$R8*$R31</f>
        <v>4.8821118982732554E-6</v>
      </c>
      <c r="S46" s="17"/>
      <c r="T46" s="86" t="s">
        <v>30</v>
      </c>
      <c r="U46" s="87">
        <f>SQRT(U45)</f>
        <v>3.880011146223921E-2</v>
      </c>
    </row>
    <row r="47" spans="2:33" ht="15" thickBot="1" x14ac:dyDescent="0.4">
      <c r="B47" s="75">
        <v>45323</v>
      </c>
      <c r="C47" s="79">
        <f>'[1]PORTFOLIO-1'!C20/'[1]PORTFOLIO-1'!C19-1</f>
        <v>7.3153474233152993E-2</v>
      </c>
      <c r="D47" s="79">
        <f>'[1]PORTFOLIO-1'!D20/'[1]PORTFOLIO-1'!D19-1</f>
        <v>-6.8016194331983804E-2</v>
      </c>
      <c r="E47" s="79">
        <f>'[1]PORTFOLIO-1'!E20/'[1]PORTFOLIO-1'!E19-1</f>
        <v>7.4647184280981937E-2</v>
      </c>
      <c r="F47" s="79">
        <f>'[1]PORTFOLIO-1'!F20/'[1]PORTFOLIO-1'!F19-1</f>
        <v>6.4449817526510689E-2</v>
      </c>
      <c r="G47" s="79">
        <f>'[1]PORTFOLIO-1'!G20/'[1]PORTFOLIO-1'!G19-1</f>
        <v>0.12970787059391609</v>
      </c>
      <c r="H47" s="79">
        <f>'[1]PORTFOLIO-1'!H20/'[1]PORTFOLIO-1'!H19-1</f>
        <v>-2.2659256092347091E-2</v>
      </c>
      <c r="I47" s="79">
        <f>'[1]PORTFOLIO-1'!I20/'[1]PORTFOLIO-1'!I19-1</f>
        <v>7.8288195012079509E-3</v>
      </c>
      <c r="J47" s="79">
        <f>'[1]PORTFOLIO-1'!J20/'[1]PORTFOLIO-1'!J19-1</f>
        <v>2.3391528473471812E-2</v>
      </c>
      <c r="K47" s="79">
        <f>'[1]PORTFOLIO-1'!K20/'[1]PORTFOLIO-1'!K19-1</f>
        <v>-2.0586247157868831E-2</v>
      </c>
      <c r="L47" s="79">
        <f>'[1]PORTFOLIO-1'!L20/'[1]PORTFOLIO-1'!L19-1</f>
        <v>-3.4110289937464455E-2</v>
      </c>
      <c r="M47" s="79">
        <f>'[1]PORTFOLIO-1'!M20/'[1]PORTFOLIO-1'!M19-1</f>
        <v>7.3131443298968923E-2</v>
      </c>
      <c r="N47" s="79">
        <f>'[1]PORTFOLIO-1'!N20/'[1]PORTFOLIO-1'!N19-1</f>
        <v>-7.9832408560751911E-2</v>
      </c>
      <c r="O47" s="79">
        <f>'[1]PORTFOLIO-1'!O20/'[1]PORTFOLIO-1'!O19-1</f>
        <v>1.1833910990209695E-2</v>
      </c>
      <c r="Q47" s="45">
        <f t="shared" si="15"/>
        <v>4.0901687558483299E-5</v>
      </c>
      <c r="R47" s="39">
        <f t="shared" si="16"/>
        <v>3.4132625190146192E-5</v>
      </c>
      <c r="T47" s="88" t="s">
        <v>31</v>
      </c>
      <c r="U47" s="89">
        <f>U46*SQRT(12)</f>
        <v>0.13440752878386775</v>
      </c>
    </row>
    <row r="48" spans="2:33" x14ac:dyDescent="0.35">
      <c r="B48" s="75">
        <v>45352</v>
      </c>
      <c r="C48" s="79">
        <f>'[1]PORTFOLIO-1'!C21/'[1]PORTFOLIO-1'!C20-1</f>
        <v>-5.3429708676222765E-2</v>
      </c>
      <c r="D48" s="79">
        <f>'[1]PORTFOLIO-1'!D21/'[1]PORTFOLIO-1'!D20-1</f>
        <v>-1.8592528236316297E-2</v>
      </c>
      <c r="E48" s="79">
        <f>'[1]PORTFOLIO-1'!E21/'[1]PORTFOLIO-1'!E20-1</f>
        <v>4.4833628916476576E-2</v>
      </c>
      <c r="F48" s="79">
        <f>'[1]PORTFOLIO-1'!F21/'[1]PORTFOLIO-1'!F20-1</f>
        <v>-7.8864084938406132E-2</v>
      </c>
      <c r="G48" s="79">
        <f>'[1]PORTFOLIO-1'!G21/'[1]PORTFOLIO-1'!G20-1</f>
        <v>0.14848533418817111</v>
      </c>
      <c r="H48" s="79">
        <f>'[1]PORTFOLIO-1'!H21/'[1]PORTFOLIO-1'!H20-1</f>
        <v>3.7620297462817254E-2</v>
      </c>
      <c r="I48" s="79">
        <f>'[1]PORTFOLIO-1'!I21/'[1]PORTFOLIO-1'!I20-1</f>
        <v>-0.1050513060822339</v>
      </c>
      <c r="J48" s="79">
        <f>'[1]PORTFOLIO-1'!J21/'[1]PORTFOLIO-1'!J20-1</f>
        <v>3.9061015016156553E-2</v>
      </c>
      <c r="K48" s="79">
        <f>'[1]PORTFOLIO-1'!K21/'[1]PORTFOLIO-1'!K20-1</f>
        <v>3.1402936378466473E-2</v>
      </c>
      <c r="L48" s="79">
        <f>'[1]PORTFOLIO-1'!L21/'[1]PORTFOLIO-1'!L20-1</f>
        <v>7.9458505002942825E-3</v>
      </c>
      <c r="M48" s="79">
        <f>'[1]PORTFOLIO-1'!M21/'[1]PORTFOLIO-1'!M20-1</f>
        <v>-2.7104687567011121E-2</v>
      </c>
      <c r="N48" s="79">
        <f>'[1]PORTFOLIO-1'!N21/'[1]PORTFOLIO-1'!N20-1</f>
        <v>5.4270243662318585E-2</v>
      </c>
      <c r="O48" s="79">
        <f>'[1]PORTFOLIO-1'!O21/'[1]PORTFOLIO-1'!O20-1</f>
        <v>1.5653147005840973E-2</v>
      </c>
      <c r="Q48" s="45">
        <f t="shared" si="15"/>
        <v>8.5507657535070019E-5</v>
      </c>
      <c r="R48" s="39">
        <f t="shared" si="16"/>
        <v>1.2216377206406326E-5</v>
      </c>
    </row>
    <row r="49" spans="2:27" x14ac:dyDescent="0.35">
      <c r="B49" s="75">
        <v>45383</v>
      </c>
      <c r="C49" s="79">
        <f>'[1]PORTFOLIO-1'!C22/'[1]PORTFOLIO-1'!C21-1</f>
        <v>-1.4356473957124138E-2</v>
      </c>
      <c r="D49" s="79">
        <f>'[1]PORTFOLIO-1'!D22/'[1]PORTFOLIO-1'!D21-1</f>
        <v>0.12535410764872523</v>
      </c>
      <c r="E49" s="79">
        <f>'[1]PORTFOLIO-1'!E22/'[1]PORTFOLIO-1'!E21-1</f>
        <v>1.5205860065673038E-2</v>
      </c>
      <c r="F49" s="79">
        <f>'[1]PORTFOLIO-1'!F22/'[1]PORTFOLIO-1'!F21-1</f>
        <v>1.1082993147015996E-2</v>
      </c>
      <c r="G49" s="79">
        <f>'[1]PORTFOLIO-1'!G22/'[1]PORTFOLIO-1'!G21-1</f>
        <v>8.7020031447418544E-2</v>
      </c>
      <c r="H49" s="79">
        <f>'[1]PORTFOLIO-1'!H22/'[1]PORTFOLIO-1'!H21-1</f>
        <v>6.2635509515779342E-2</v>
      </c>
      <c r="I49" s="79">
        <f>'[1]PORTFOLIO-1'!I22/'[1]PORTFOLIO-1'!I21-1</f>
        <v>-5.1736637890525516E-2</v>
      </c>
      <c r="J49" s="79">
        <f>'[1]PORTFOLIO-1'!J22/'[1]PORTFOLIO-1'!J21-1</f>
        <v>5.2227202048843013E-2</v>
      </c>
      <c r="K49" s="79">
        <f>'[1]PORTFOLIO-1'!K22/'[1]PORTFOLIO-1'!K21-1</f>
        <v>-1.7550263101864472E-2</v>
      </c>
      <c r="L49" s="79">
        <f>'[1]PORTFOLIO-1'!L22/'[1]PORTFOLIO-1'!L21-1</f>
        <v>0.12496350364963504</v>
      </c>
      <c r="M49" s="79">
        <f>'[1]PORTFOLIO-1'!M22/'[1]PORTFOLIO-1'!M21-1</f>
        <v>3.7690103592682433E-2</v>
      </c>
      <c r="N49" s="79">
        <f>'[1]PORTFOLIO-1'!N22/'[1]PORTFOLIO-1'!N21-1</f>
        <v>1.7042138438192911E-2</v>
      </c>
      <c r="O49" s="79">
        <f>'[1]PORTFOLIO-1'!O22/'[1]PORTFOLIO-1'!O21-1</f>
        <v>1.2449108474530624E-2</v>
      </c>
      <c r="Q49" s="45">
        <f t="shared" si="15"/>
        <v>8.7992000258468466E-6</v>
      </c>
      <c r="R49" s="39">
        <f t="shared" si="16"/>
        <v>3.1404494228175024E-6</v>
      </c>
    </row>
    <row r="50" spans="2:27" x14ac:dyDescent="0.35">
      <c r="B50" s="75">
        <v>45413</v>
      </c>
      <c r="C50" s="79">
        <f>'[1]PORTFOLIO-1'!C23/'[1]PORTFOLIO-1'!C22-1</f>
        <v>-3.9181814612696875E-2</v>
      </c>
      <c r="D50" s="79">
        <f>'[1]PORTFOLIO-1'!D23/'[1]PORTFOLIO-1'!D22-1</f>
        <v>0.22738357457520442</v>
      </c>
      <c r="E50" s="79">
        <f>'[1]PORTFOLIO-1'!E23/'[1]PORTFOLIO-1'!E22-1</f>
        <v>-8.4235668789808926E-2</v>
      </c>
      <c r="F50" s="79">
        <f>'[1]PORTFOLIO-1'!F23/'[1]PORTFOLIO-1'!F22-1</f>
        <v>-4.3398432504521578E-2</v>
      </c>
      <c r="G50" s="79">
        <f>'[1]PORTFOLIO-1'!G23/'[1]PORTFOLIO-1'!G22-1</f>
        <v>0.1938305630210384</v>
      </c>
      <c r="H50" s="79">
        <f>'[1]PORTFOLIO-1'!H23/'[1]PORTFOLIO-1'!H22-1</f>
        <v>-1.8703241895262623E-3</v>
      </c>
      <c r="I50" s="79">
        <f>'[1]PORTFOLIO-1'!I23/'[1]PORTFOLIO-1'!I22-1</f>
        <v>-4.028061928797344E-3</v>
      </c>
      <c r="J50" s="79">
        <f>'[1]PORTFOLIO-1'!J23/'[1]PORTFOLIO-1'!J22-1</f>
        <v>-2.5512865090403403E-2</v>
      </c>
      <c r="K50" s="79">
        <f>'[1]PORTFOLIO-1'!K23/'[1]PORTFOLIO-1'!K22-1</f>
        <v>-5.3498452012384012E-2</v>
      </c>
      <c r="L50" s="79">
        <f>'[1]PORTFOLIO-1'!L23/'[1]PORTFOLIO-1'!L22-1</f>
        <v>0.16273033999480924</v>
      </c>
      <c r="M50" s="79">
        <f>'[1]PORTFOLIO-1'!M23/'[1]PORTFOLIO-1'!M22-1</f>
        <v>-1.495327102803734E-2</v>
      </c>
      <c r="N50" s="79">
        <f>'[1]PORTFOLIO-1'!N23/'[1]PORTFOLIO-1'!N22-1</f>
        <v>-2.1117869849649917E-2</v>
      </c>
      <c r="O50" s="79">
        <f>'[1]PORTFOLIO-1'!O23/'[1]PORTFOLIO-1'!O22-1</f>
        <v>-3.2802694996869608E-3</v>
      </c>
      <c r="Q50" s="45">
        <f t="shared" si="15"/>
        <v>5.5867123249412492E-5</v>
      </c>
      <c r="R50" s="39">
        <f t="shared" si="16"/>
        <v>4.8203831901626708E-6</v>
      </c>
      <c r="T50" s="46"/>
      <c r="U50" s="46"/>
      <c r="V50" s="46"/>
      <c r="W50" s="46"/>
      <c r="X50" s="46"/>
      <c r="Y50" s="46"/>
    </row>
    <row r="51" spans="2:27" ht="18" customHeight="1" x14ac:dyDescent="0.35">
      <c r="B51" s="75">
        <v>45444</v>
      </c>
      <c r="C51" s="79">
        <f>'[1]PORTFOLIO-1'!C24/'[1]PORTFOLIO-1'!C23-1</f>
        <v>6.3525790326754761E-2</v>
      </c>
      <c r="D51" s="79">
        <f>'[1]PORTFOLIO-1'!D24/'[1]PORTFOLIO-1'!D23-1</f>
        <v>7.0565614484858097E-2</v>
      </c>
      <c r="E51" s="79">
        <f>'[1]PORTFOLIO-1'!E24/'[1]PORTFOLIO-1'!E23-1</f>
        <v>7.5628151625804163E-2</v>
      </c>
      <c r="F51" s="79">
        <f>'[1]PORTFOLIO-1'!F24/'[1]PORTFOLIO-1'!F23-1</f>
        <v>3.5092577561758098E-2</v>
      </c>
      <c r="G51" s="79">
        <f>'[1]PORTFOLIO-1'!G24/'[1]PORTFOLIO-1'!G23-1</f>
        <v>0.10474620017206759</v>
      </c>
      <c r="H51" s="79">
        <f>'[1]PORTFOLIO-1'!H24/'[1]PORTFOLIO-1'!H23-1</f>
        <v>5.7861563795355231E-2</v>
      </c>
      <c r="I51" s="79">
        <f>'[1]PORTFOLIO-1'!I24/'[1]PORTFOLIO-1'!I23-1</f>
        <v>0.11361859407207331</v>
      </c>
      <c r="J51" s="79">
        <f>'[1]PORTFOLIO-1'!J24/'[1]PORTFOLIO-1'!J23-1</f>
        <v>7.0068239596806636E-2</v>
      </c>
      <c r="K51" s="79">
        <f>'[1]PORTFOLIO-1'!K24/'[1]PORTFOLIO-1'!K23-1</f>
        <v>3.8957215752976726E-2</v>
      </c>
      <c r="L51" s="79">
        <f>'[1]PORTFOLIO-1'!L24/'[1]PORTFOLIO-1'!L23-1</f>
        <v>7.9866071428571273E-2</v>
      </c>
      <c r="M51" s="79">
        <f>'[1]PORTFOLIO-1'!M24/'[1]PORTFOLIO-1'!M23-1</f>
        <v>0.10100051750905625</v>
      </c>
      <c r="N51" s="79">
        <f>'[1]PORTFOLIO-1'!N24/'[1]PORTFOLIO-1'!N23-1</f>
        <v>-3.6346582248798498E-3</v>
      </c>
      <c r="O51" s="79">
        <f>'[1]PORTFOLIO-1'!O24/'[1]PORTFOLIO-1'!O23-1</f>
        <v>6.5683711558007341E-2</v>
      </c>
      <c r="Q51" s="45">
        <f t="shared" si="15"/>
        <v>1.5241647162538391E-5</v>
      </c>
      <c r="R51" s="39">
        <f t="shared" si="16"/>
        <v>1.5186181036352914E-5</v>
      </c>
      <c r="T51" s="47"/>
      <c r="U51" s="48"/>
      <c r="V51" s="48"/>
      <c r="W51" s="48"/>
      <c r="X51" s="49"/>
      <c r="Y51" s="48"/>
    </row>
    <row r="52" spans="2:27" x14ac:dyDescent="0.35">
      <c r="B52" s="75">
        <v>45474</v>
      </c>
      <c r="C52" s="79">
        <f>'[1]PORTFOLIO-1'!C25/'[1]PORTFOLIO-1'!C24-1</f>
        <v>0.12325346106066637</v>
      </c>
      <c r="D52" s="79">
        <f>'[1]PORTFOLIO-1'!D25/'[1]PORTFOLIO-1'!D24-1</f>
        <v>3.7806447750471595E-2</v>
      </c>
      <c r="E52" s="79">
        <f>'[1]PORTFOLIO-1'!E25/'[1]PORTFOLIO-1'!E24-1</f>
        <v>0.16862844152563783</v>
      </c>
      <c r="F52" s="79">
        <f>'[1]PORTFOLIO-1'!F25/'[1]PORTFOLIO-1'!F24-1</f>
        <v>9.6837580029151882E-2</v>
      </c>
      <c r="G52" s="79">
        <f>'[1]PORTFOLIO-1'!G25/'[1]PORTFOLIO-1'!G24-1</f>
        <v>-7.419040820299827E-2</v>
      </c>
      <c r="H52" s="79">
        <f>'[1]PORTFOLIO-1'!H25/'[1]PORTFOLIO-1'!H24-1</f>
        <v>-3.4889962426194465E-3</v>
      </c>
      <c r="I52" s="79">
        <f>'[1]PORTFOLIO-1'!I25/'[1]PORTFOLIO-1'!I24-1</f>
        <v>0.19243657252273816</v>
      </c>
      <c r="J52" s="79">
        <f>'[1]PORTFOLIO-1'!J25/'[1]PORTFOLIO-1'!J24-1</f>
        <v>1.2754251417139262E-2</v>
      </c>
      <c r="K52" s="79">
        <f>'[1]PORTFOLIO-1'!K25/'[1]PORTFOLIO-1'!K24-1</f>
        <v>3.9983628750432931E-2</v>
      </c>
      <c r="L52" s="79">
        <f>'[1]PORTFOLIO-1'!L25/'[1]PORTFOLIO-1'!L24-1</f>
        <v>6.2838480300963173E-2</v>
      </c>
      <c r="M52" s="79">
        <f>'[1]PORTFOLIO-1'!M25/'[1]PORTFOLIO-1'!M24-1</f>
        <v>0.10716803760282012</v>
      </c>
      <c r="N52" s="79">
        <f>'[1]PORTFOLIO-1'!N25/'[1]PORTFOLIO-1'!N24-1</f>
        <v>0.16580371852200537</v>
      </c>
      <c r="O52" s="79">
        <f>'[1]PORTFOLIO-1'!O25/'[1]PORTFOLIO-1'!O24-1</f>
        <v>3.917228224200997E-2</v>
      </c>
      <c r="Q52" s="45">
        <f t="shared" si="15"/>
        <v>1.2591173865174077E-5</v>
      </c>
      <c r="R52" s="39">
        <f t="shared" si="16"/>
        <v>8.5837541298845572E-6</v>
      </c>
    </row>
    <row r="53" spans="2:27" x14ac:dyDescent="0.35">
      <c r="B53" s="75">
        <v>45505</v>
      </c>
      <c r="C53" s="79">
        <f>'[1]PORTFOLIO-1'!C26/'[1]PORTFOLIO-1'!C25-1</f>
        <v>3.8400583761843299E-2</v>
      </c>
      <c r="D53" s="79">
        <f>'[1]PORTFOLIO-1'!D26/'[1]PORTFOLIO-1'!D25-1</f>
        <v>-8.4511104701471051E-2</v>
      </c>
      <c r="E53" s="79">
        <f>'[1]PORTFOLIO-1'!E26/'[1]PORTFOLIO-1'!E25-1</f>
        <v>-3.9164829464401696E-2</v>
      </c>
      <c r="F53" s="79">
        <f>'[1]PORTFOLIO-1'!F26/'[1]PORTFOLIO-1'!F25-1</f>
        <v>9.4200765381218243E-3</v>
      </c>
      <c r="G53" s="79">
        <f>'[1]PORTFOLIO-1'!G26/'[1]PORTFOLIO-1'!G25-1</f>
        <v>-3.3618864697388062E-2</v>
      </c>
      <c r="H53" s="79">
        <f>'[1]PORTFOLIO-1'!H26/'[1]PORTFOLIO-1'!H25-1</f>
        <v>1.3843253433881042E-2</v>
      </c>
      <c r="I53" s="79">
        <f>'[1]PORTFOLIO-1'!I26/'[1]PORTFOLIO-1'!I25-1</f>
        <v>4.038538739462072E-2</v>
      </c>
      <c r="J53" s="79">
        <f>'[1]PORTFOLIO-1'!J26/'[1]PORTFOLIO-1'!J25-1</f>
        <v>1.1770516091859307E-2</v>
      </c>
      <c r="K53" s="79">
        <f>'[1]PORTFOLIO-1'!K26/'[1]PORTFOLIO-1'!K25-1</f>
        <v>7.9556806829534032E-2</v>
      </c>
      <c r="L53" s="79">
        <f>'[1]PORTFOLIO-1'!L26/'[1]PORTFOLIO-1'!L25-1</f>
        <v>-2.4894005990119261E-3</v>
      </c>
      <c r="M53" s="79">
        <f>'[1]PORTFOLIO-1'!M26/'[1]PORTFOLIO-1'!M25-1</f>
        <v>4.3196773508809239E-2</v>
      </c>
      <c r="N53" s="79">
        <f>'[1]PORTFOLIO-1'!N26/'[1]PORTFOLIO-1'!N25-1</f>
        <v>1.3222973654991366E-2</v>
      </c>
      <c r="O53" s="79">
        <f>'[1]PORTFOLIO-1'!O26/'[1]PORTFOLIO-1'!O25-1</f>
        <v>1.141229963348378E-2</v>
      </c>
      <c r="Q53" s="45">
        <f t="shared" si="15"/>
        <v>2.5871045252076249E-5</v>
      </c>
      <c r="R53" s="39">
        <f t="shared" si="16"/>
        <v>4.4804581266415991E-6</v>
      </c>
    </row>
    <row r="54" spans="2:27" x14ac:dyDescent="0.35">
      <c r="B54" s="75">
        <v>45536</v>
      </c>
      <c r="C54" s="79">
        <f>'[1]PORTFOLIO-1'!C27/'[1]PORTFOLIO-1'!C26-1</f>
        <v>-6.2640680757617306E-2</v>
      </c>
      <c r="D54" s="79">
        <f>'[1]PORTFOLIO-1'!D27/'[1]PORTFOLIO-1'!D26-1</f>
        <v>-4.4360428481411529E-2</v>
      </c>
      <c r="E54" s="79">
        <f>'[1]PORTFOLIO-1'!E27/'[1]PORTFOLIO-1'!E26-1</f>
        <v>-0.1230035542358392</v>
      </c>
      <c r="F54" s="79">
        <f>'[1]PORTFOLIO-1'!F27/'[1]PORTFOLIO-1'!F26-1</f>
        <v>-2.6663333749947782E-3</v>
      </c>
      <c r="G54" s="79">
        <f>'[1]PORTFOLIO-1'!G27/'[1]PORTFOLIO-1'!G26-1</f>
        <v>5.1776414095254575E-2</v>
      </c>
      <c r="H54" s="79">
        <f>'[1]PORTFOLIO-1'!H27/'[1]PORTFOLIO-1'!H26-1</f>
        <v>9.4517054510678822E-2</v>
      </c>
      <c r="I54" s="79">
        <f>'[1]PORTFOLIO-1'!I27/'[1]PORTFOLIO-1'!I26-1</f>
        <v>-3.5036271029479926E-2</v>
      </c>
      <c r="J54" s="79">
        <f>'[1]PORTFOLIO-1'!J27/'[1]PORTFOLIO-1'!J26-1</f>
        <v>3.5632931988285099E-2</v>
      </c>
      <c r="K54" s="79">
        <f>'[1]PORTFOLIO-1'!K27/'[1]PORTFOLIO-1'!K26-1</f>
        <v>0.10675527887608327</v>
      </c>
      <c r="L54" s="79">
        <f>'[1]PORTFOLIO-1'!L27/'[1]PORTFOLIO-1'!L26-1</f>
        <v>-8.2082277247026658E-2</v>
      </c>
      <c r="M54" s="79">
        <f>'[1]PORTFOLIO-1'!M27/'[1]PORTFOLIO-1'!M26-1</f>
        <v>7.8373520534472885E-2</v>
      </c>
      <c r="N54" s="79">
        <f>'[1]PORTFOLIO-1'!N27/'[1]PORTFOLIO-1'!N26-1</f>
        <v>3.2376967523411126E-2</v>
      </c>
      <c r="O54" s="79">
        <f>'[1]PORTFOLIO-1'!O27/'[1]PORTFOLIO-1'!O26-1</f>
        <v>2.2783019428670892E-2</v>
      </c>
      <c r="Q54" s="45">
        <f t="shared" si="15"/>
        <v>1.4492647805610049E-5</v>
      </c>
      <c r="R54" s="39">
        <f t="shared" si="16"/>
        <v>1.7520570186637856E-5</v>
      </c>
    </row>
    <row r="55" spans="2:27" x14ac:dyDescent="0.35">
      <c r="B55" s="75">
        <v>45566</v>
      </c>
      <c r="C55" s="79">
        <f>'[1]PORTFOLIO-1'!C28/'[1]PORTFOLIO-1'!C27-1</f>
        <v>-8.4882277146538621E-2</v>
      </c>
      <c r="D55" s="79">
        <f>'[1]PORTFOLIO-1'!D28/'[1]PORTFOLIO-1'!D27-1</f>
        <v>-7.0189898457074906E-2</v>
      </c>
      <c r="E55" s="79">
        <f>'[1]PORTFOLIO-1'!E28/'[1]PORTFOLIO-1'!E27-1</f>
        <v>-0.14425691273790597</v>
      </c>
      <c r="F55" s="79">
        <f>'[1]PORTFOLIO-1'!F28/'[1]PORTFOLIO-1'!F27-1</f>
        <v>-0.16241279919796159</v>
      </c>
      <c r="G55" s="79">
        <f>'[1]PORTFOLIO-1'!G28/'[1]PORTFOLIO-1'!G27-1</f>
        <v>-3.7751724137931042E-2</v>
      </c>
      <c r="H55" s="79">
        <f>'[1]PORTFOLIO-1'!H28/'[1]PORTFOLIO-1'!H27-1</f>
        <v>-6.4462890150963514E-2</v>
      </c>
      <c r="I55" s="79">
        <f>'[1]PORTFOLIO-1'!I28/'[1]PORTFOLIO-1'!I27-1</f>
        <v>-6.3099808061420348E-2</v>
      </c>
      <c r="J55" s="79">
        <f>'[1]PORTFOLIO-1'!J28/'[1]PORTFOLIO-1'!J27-1</f>
        <v>1.5121759622938047E-2</v>
      </c>
      <c r="K55" s="79">
        <f>'[1]PORTFOLIO-1'!K28/'[1]PORTFOLIO-1'!K27-1</f>
        <v>-0.1128255802168846</v>
      </c>
      <c r="L55" s="79">
        <f>'[1]PORTFOLIO-1'!L28/'[1]PORTFOLIO-1'!L27-1</f>
        <v>-0.11563296516567545</v>
      </c>
      <c r="M55" s="79">
        <f>'[1]PORTFOLIO-1'!M28/'[1]PORTFOLIO-1'!M27-1</f>
        <v>-8.8559028869740319E-2</v>
      </c>
      <c r="N55" s="79">
        <f>'[1]PORTFOLIO-1'!N28/'[1]PORTFOLIO-1'!N27-1</f>
        <v>-0.10757502653671713</v>
      </c>
      <c r="O55" s="79">
        <f>'[1]PORTFOLIO-1'!O28/'[1]PORTFOLIO-1'!O27-1</f>
        <v>-6.2202523357425266E-2</v>
      </c>
      <c r="Q55" s="45">
        <f t="shared" si="15"/>
        <v>7.1338080820114002E-5</v>
      </c>
      <c r="R55" s="39">
        <f t="shared" si="16"/>
        <v>2.3103736702800088E-5</v>
      </c>
    </row>
    <row r="56" spans="2:27" x14ac:dyDescent="0.35">
      <c r="B56" s="75">
        <v>45597</v>
      </c>
      <c r="C56" s="79">
        <f>'[1]PORTFOLIO-1'!C29/'[1]PORTFOLIO-1'!C28-1</f>
        <v>7.6202325545673855E-2</v>
      </c>
      <c r="D56" s="79">
        <f>'[1]PORTFOLIO-1'!D29/'[1]PORTFOLIO-1'!D28-1</f>
        <v>-5.5242350104598881E-2</v>
      </c>
      <c r="E56" s="79">
        <f>'[1]PORTFOLIO-1'!E29/'[1]PORTFOLIO-1'!E28-1</f>
        <v>-5.7070919009651555E-2</v>
      </c>
      <c r="F56" s="79">
        <f>'[1]PORTFOLIO-1'!F29/'[1]PORTFOLIO-1'!F28-1</f>
        <v>-4.3788339733679127E-2</v>
      </c>
      <c r="G56" s="79">
        <f>'[1]PORTFOLIO-1'!G29/'[1]PORTFOLIO-1'!G28-1</f>
        <v>8.3790834683141524E-2</v>
      </c>
      <c r="H56" s="79">
        <f>'[1]PORTFOLIO-1'!H29/'[1]PORTFOLIO-1'!H28-1</f>
        <v>2.438644736159512E-3</v>
      </c>
      <c r="I56" s="79">
        <f>'[1]PORTFOLIO-1'!I29/'[1]PORTFOLIO-1'!I28-1</f>
        <v>5.7248541755583915E-2</v>
      </c>
      <c r="J56" s="79">
        <f>'[1]PORTFOLIO-1'!J29/'[1]PORTFOLIO-1'!J28-1</f>
        <v>6.0746759527954275E-3</v>
      </c>
      <c r="K56" s="79">
        <f>'[1]PORTFOLIO-1'!K29/'[1]PORTFOLIO-1'!K28-1</f>
        <v>-9.7558189347422553E-2</v>
      </c>
      <c r="L56" s="79">
        <f>'[1]PORTFOLIO-1'!L29/'[1]PORTFOLIO-1'!L28-1</f>
        <v>0.11480449610913634</v>
      </c>
      <c r="M56" s="79">
        <f>'[1]PORTFOLIO-1'!M29/'[1]PORTFOLIO-1'!M28-1</f>
        <v>5.5206680008281106E-2</v>
      </c>
      <c r="N56" s="79">
        <f>'[1]PORTFOLIO-1'!N29/'[1]PORTFOLIO-1'!N28-1</f>
        <v>-2.4653446075993291E-2</v>
      </c>
      <c r="O56" s="79">
        <f>'[1]PORTFOLIO-1'!O29/'[1]PORTFOLIO-1'!O28-1</f>
        <v>-3.0675036717089377E-3</v>
      </c>
      <c r="Q56" s="45">
        <f t="shared" si="15"/>
        <v>4.7006732633719462E-5</v>
      </c>
      <c r="R56" s="39">
        <f t="shared" si="16"/>
        <v>7.2563294126319212E-6</v>
      </c>
      <c r="AA56" s="1" t="s">
        <v>23</v>
      </c>
    </row>
    <row r="57" spans="2:27" x14ac:dyDescent="0.35">
      <c r="B57" s="75">
        <v>45627</v>
      </c>
      <c r="C57" s="79">
        <f>'[1]PORTFOLIO-1'!C30/'[1]PORTFOLIO-1'!C29-1</f>
        <v>-4.1221835274415808E-2</v>
      </c>
      <c r="D57" s="79">
        <f>'[1]PORTFOLIO-1'!D30/'[1]PORTFOLIO-1'!D29-1</f>
        <v>-2.4582473259523341E-2</v>
      </c>
      <c r="E57" s="79">
        <f>'[1]PORTFOLIO-1'!E30/'[1]PORTFOLIO-1'!E29-1</f>
        <v>-5.8872146989637053E-2</v>
      </c>
      <c r="F57" s="79">
        <f>'[1]PORTFOLIO-1'!F30/'[1]PORTFOLIO-1'!F29-1</f>
        <v>-4.5845720544515633E-2</v>
      </c>
      <c r="G57" s="79">
        <f>'[1]PORTFOLIO-1'!G30/'[1]PORTFOLIO-1'!G29-1</f>
        <v>-0.13554031623428586</v>
      </c>
      <c r="H57" s="79">
        <f>'[1]PORTFOLIO-1'!H30/'[1]PORTFOLIO-1'!H29-1</f>
        <v>-6.6770186335403769E-2</v>
      </c>
      <c r="I57" s="79">
        <f>'[1]PORTFOLIO-1'!I30/'[1]PORTFOLIO-1'!I29-1</f>
        <v>1.1922383400166936E-2</v>
      </c>
      <c r="J57" s="79">
        <f>'[1]PORTFOLIO-1'!J30/'[1]PORTFOLIO-1'!J29-1</f>
        <v>-1.4191216060302936E-2</v>
      </c>
      <c r="K57" s="79">
        <f>'[1]PORTFOLIO-1'!K30/'[1]PORTFOLIO-1'!K29-1</f>
        <v>-7.5002373492832897E-3</v>
      </c>
      <c r="L57" s="79">
        <f>'[1]PORTFOLIO-1'!L30/'[1]PORTFOLIO-1'!L29-1</f>
        <v>-4.9896587383660873E-2</v>
      </c>
      <c r="M57" s="79">
        <f>'[1]PORTFOLIO-1'!M30/'[1]PORTFOLIO-1'!M29-1</f>
        <v>6.3010921457066438E-2</v>
      </c>
      <c r="N57" s="79">
        <f>'[1]PORTFOLIO-1'!N30/'[1]PORTFOLIO-1'!N29-1</f>
        <v>1.4478614664863443E-2</v>
      </c>
      <c r="O57" s="79">
        <f>'[1]PORTFOLIO-1'!O30/'[1]PORTFOLIO-1'!O29-1</f>
        <v>-2.0152417419844082E-2</v>
      </c>
      <c r="Q57" s="50">
        <f t="shared" si="15"/>
        <v>1.2868058834907637E-5</v>
      </c>
      <c r="R57" s="39">
        <f t="shared" ref="R57:R66" si="17">2*$R$8*$R9*$S32</f>
        <v>2.7389750720043664E-5</v>
      </c>
    </row>
    <row r="58" spans="2:27" x14ac:dyDescent="0.35">
      <c r="Q58" s="80">
        <f>SUM(Q46:Q57)</f>
        <v>3.9932711918882878E-4</v>
      </c>
      <c r="R58" s="39">
        <f t="shared" si="17"/>
        <v>8.3663353723492061E-6</v>
      </c>
      <c r="T58" s="1" t="s">
        <v>23</v>
      </c>
    </row>
    <row r="59" spans="2:27" x14ac:dyDescent="0.35">
      <c r="R59" s="44">
        <f t="shared" si="17"/>
        <v>3.4770772424125483E-5</v>
      </c>
    </row>
    <row r="60" spans="2:27" x14ac:dyDescent="0.35">
      <c r="R60" s="44">
        <f t="shared" si="17"/>
        <v>1.8131076747684105E-5</v>
      </c>
    </row>
    <row r="61" spans="2:27" x14ac:dyDescent="0.35">
      <c r="B61" s="32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R61" s="44">
        <f t="shared" si="17"/>
        <v>9.6709242825418968E-6</v>
      </c>
    </row>
    <row r="62" spans="2:27" x14ac:dyDescent="0.35">
      <c r="B62" s="32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R62" s="44">
        <f t="shared" si="17"/>
        <v>1.5279511583272714E-6</v>
      </c>
    </row>
    <row r="63" spans="2:27" x14ac:dyDescent="0.35">
      <c r="B63" s="32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R63" s="44">
        <f t="shared" si="17"/>
        <v>-5.4948358793806629E-7</v>
      </c>
    </row>
    <row r="64" spans="2:27" x14ac:dyDescent="0.35">
      <c r="B64" s="32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R64" s="44">
        <f t="shared" si="17"/>
        <v>7.2606679692155331E-5</v>
      </c>
    </row>
    <row r="65" spans="2:18" x14ac:dyDescent="0.35">
      <c r="B65" s="32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R65" s="44">
        <f t="shared" si="17"/>
        <v>6.1260240671932993E-6</v>
      </c>
    </row>
    <row r="66" spans="2:18" x14ac:dyDescent="0.35">
      <c r="B66" s="32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R66" s="44">
        <f t="shared" si="17"/>
        <v>5.0381594756556661E-6</v>
      </c>
    </row>
    <row r="67" spans="2:18" x14ac:dyDescent="0.35">
      <c r="B67" s="32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R67" s="44">
        <f t="shared" ref="R67:R75" si="18">2*$R$9*$R10*$T33</f>
        <v>4.1838946806604271E-5</v>
      </c>
    </row>
    <row r="68" spans="2:18" x14ac:dyDescent="0.35">
      <c r="B68" s="3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R68" s="44">
        <f t="shared" si="18"/>
        <v>1.235963270526042E-5</v>
      </c>
    </row>
    <row r="69" spans="2:18" x14ac:dyDescent="0.35">
      <c r="B69" s="32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R69" s="44">
        <f t="shared" si="18"/>
        <v>2.5705225778358475E-5</v>
      </c>
    </row>
    <row r="70" spans="2:18" x14ac:dyDescent="0.35">
      <c r="B70" s="32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R70" s="44">
        <f t="shared" si="18"/>
        <v>2.2178644502764658E-5</v>
      </c>
    </row>
    <row r="71" spans="2:18" x14ac:dyDescent="0.35">
      <c r="B71" s="32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R71" s="44">
        <f t="shared" si="18"/>
        <v>3.4246600318941554E-5</v>
      </c>
    </row>
    <row r="72" spans="2:18" x14ac:dyDescent="0.35">
      <c r="B72" s="32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R72" s="44">
        <f t="shared" si="18"/>
        <v>3.1417608136868426E-5</v>
      </c>
    </row>
    <row r="73" spans="2:18" x14ac:dyDescent="0.35">
      <c r="B73" s="32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R73" s="44">
        <f t="shared" si="18"/>
        <v>5.5377637065906838E-5</v>
      </c>
    </row>
    <row r="74" spans="2:18" x14ac:dyDescent="0.35">
      <c r="B74" s="32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R74" s="44">
        <f t="shared" si="18"/>
        <v>4.9317265527783221E-5</v>
      </c>
    </row>
    <row r="75" spans="2:18" x14ac:dyDescent="0.35">
      <c r="B75" s="32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R75" s="44">
        <f t="shared" si="18"/>
        <v>3.1352516773516551E-5</v>
      </c>
    </row>
    <row r="76" spans="2:18" x14ac:dyDescent="0.35">
      <c r="B76" s="32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R76" s="44">
        <f t="shared" ref="R76:R83" si="19">2*$R$10*$R11*$U34</f>
        <v>1.7254983837934767E-6</v>
      </c>
    </row>
    <row r="77" spans="2:18" x14ac:dyDescent="0.35">
      <c r="B77" s="32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R77" s="44">
        <f t="shared" si="19"/>
        <v>1.0185064517696778E-5</v>
      </c>
    </row>
    <row r="78" spans="2:18" x14ac:dyDescent="0.35">
      <c r="B78" s="32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R78" s="44">
        <f t="shared" si="19"/>
        <v>8.5080582711150591E-6</v>
      </c>
    </row>
    <row r="79" spans="2:18" x14ac:dyDescent="0.35">
      <c r="B79" s="32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R79" s="44">
        <f t="shared" si="19"/>
        <v>7.2291121935301169E-6</v>
      </c>
    </row>
    <row r="80" spans="2:18" x14ac:dyDescent="0.35">
      <c r="B80" s="32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R80" s="44">
        <f t="shared" si="19"/>
        <v>1.200867572011678E-5</v>
      </c>
    </row>
    <row r="81" spans="2:18" x14ac:dyDescent="0.35">
      <c r="B81" s="32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R81" s="44">
        <f t="shared" si="19"/>
        <v>1.1403092054648459E-5</v>
      </c>
    </row>
    <row r="82" spans="2:18" x14ac:dyDescent="0.35">
      <c r="B82" s="32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R82" s="44">
        <f t="shared" si="19"/>
        <v>2.2187488845221284E-5</v>
      </c>
    </row>
    <row r="83" spans="2:18" x14ac:dyDescent="0.35">
      <c r="B83" s="32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R83" s="44">
        <f t="shared" si="19"/>
        <v>1.0353624430999762E-5</v>
      </c>
    </row>
    <row r="84" spans="2:18" x14ac:dyDescent="0.35">
      <c r="B84" s="32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R84" s="44">
        <f t="shared" ref="R84:R90" si="20">2*$R$11*$R12*$V35</f>
        <v>2.4541475473625486E-5</v>
      </c>
    </row>
    <row r="85" spans="2:18" x14ac:dyDescent="0.35">
      <c r="B85" s="32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R85" s="44">
        <f t="shared" si="20"/>
        <v>-7.2677360093445683E-6</v>
      </c>
    </row>
    <row r="86" spans="2:18" x14ac:dyDescent="0.35">
      <c r="B86" s="32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R86" s="44">
        <f t="shared" si="20"/>
        <v>3.1974858707754882E-5</v>
      </c>
    </row>
    <row r="87" spans="2:18" x14ac:dyDescent="0.35">
      <c r="B87" s="32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R87" s="44">
        <f t="shared" si="20"/>
        <v>-2.3548115529758619E-6</v>
      </c>
    </row>
    <row r="88" spans="2:18" x14ac:dyDescent="0.35">
      <c r="B88" s="32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R88" s="44">
        <f t="shared" si="20"/>
        <v>6.1747276243111302E-5</v>
      </c>
    </row>
    <row r="89" spans="2:18" x14ac:dyDescent="0.35">
      <c r="B89" s="32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R89" s="44">
        <f t="shared" si="20"/>
        <v>-5.1052790875503665E-6</v>
      </c>
    </row>
    <row r="90" spans="2:18" x14ac:dyDescent="0.35">
      <c r="B90" s="32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R90" s="44">
        <f t="shared" si="20"/>
        <v>-9.9785678987582345E-7</v>
      </c>
    </row>
    <row r="91" spans="2:18" x14ac:dyDescent="0.35">
      <c r="B91" s="32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R91" s="44">
        <f t="shared" ref="R91:R96" si="21">2*$R$12*$R13*$W36</f>
        <v>-1.0160324934408914E-6</v>
      </c>
    </row>
    <row r="92" spans="2:18" x14ac:dyDescent="0.35">
      <c r="B92" s="32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R92" s="44">
        <f t="shared" si="21"/>
        <v>1.6562783621034091E-5</v>
      </c>
    </row>
    <row r="93" spans="2:18" x14ac:dyDescent="0.35">
      <c r="B93" s="32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R93" s="44">
        <f t="shared" si="21"/>
        <v>1.4809000776959109E-5</v>
      </c>
    </row>
    <row r="94" spans="2:18" x14ac:dyDescent="0.35">
      <c r="B94" s="32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R94" s="44">
        <f t="shared" si="21"/>
        <v>3.1641125029950312E-5</v>
      </c>
    </row>
    <row r="95" spans="2:18" x14ac:dyDescent="0.35">
      <c r="B95" s="32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R95" s="44">
        <f t="shared" si="21"/>
        <v>1.6490994307489374E-5</v>
      </c>
    </row>
    <row r="96" spans="2:18" x14ac:dyDescent="0.35">
      <c r="B96" s="32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R96" s="44">
        <f t="shared" si="21"/>
        <v>9.7354923153770512E-6</v>
      </c>
    </row>
    <row r="97" spans="2:18" x14ac:dyDescent="0.35">
      <c r="B97" s="32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R97" s="44">
        <f>2*$R$13*$R14*$X37</f>
        <v>-3.4977528056631631E-7</v>
      </c>
    </row>
    <row r="98" spans="2:18" x14ac:dyDescent="0.35">
      <c r="B98" s="32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R98" s="44">
        <f>2*$R$13*$R15*$X38</f>
        <v>1.2813927171725877E-6</v>
      </c>
    </row>
    <row r="99" spans="2:18" x14ac:dyDescent="0.35">
      <c r="B99" s="32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R99" s="44">
        <f>2*$R$13*$R16*$X39</f>
        <v>1.4601713651158108E-5</v>
      </c>
    </row>
    <row r="100" spans="2:18" x14ac:dyDescent="0.35">
      <c r="B100" s="32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R100" s="44">
        <f>2*$R$13*$R17*$X40</f>
        <v>2.2941479122173867E-5</v>
      </c>
    </row>
    <row r="101" spans="2:18" x14ac:dyDescent="0.35">
      <c r="B101" s="32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R101" s="44">
        <f>2*$R$13*$R18*$X41</f>
        <v>3.4636430929932344E-6</v>
      </c>
    </row>
    <row r="102" spans="2:18" x14ac:dyDescent="0.35">
      <c r="B102" s="32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R102" s="44">
        <f>2*$R$14*$R15*$Y38</f>
        <v>1.1554048104216963E-5</v>
      </c>
    </row>
    <row r="103" spans="2:18" x14ac:dyDescent="0.35">
      <c r="B103" s="32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R103" s="44">
        <f>2*$R$14*$R16*$Y39</f>
        <v>6.178419347579196E-6</v>
      </c>
    </row>
    <row r="104" spans="2:18" x14ac:dyDescent="0.35">
      <c r="B104" s="32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R104" s="44">
        <f>2*$R$14*$R17*$Y40</f>
        <v>2.4264584618653123E-5</v>
      </c>
    </row>
    <row r="105" spans="2:18" x14ac:dyDescent="0.35">
      <c r="B105" s="3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R105" s="44">
        <f>2*$R$14*$R18*$Y41</f>
        <v>1.2678597407752397E-5</v>
      </c>
    </row>
    <row r="106" spans="2:18" x14ac:dyDescent="0.35">
      <c r="B106" s="32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R106" s="44">
        <f>2*$R$15*$R16*$Z39</f>
        <v>5.2739827922900835E-6</v>
      </c>
    </row>
    <row r="107" spans="2:18" x14ac:dyDescent="0.35">
      <c r="B107" s="32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R107" s="44">
        <f>2*$R$15*$R17*$Z40</f>
        <v>2.6971992336821073E-5</v>
      </c>
    </row>
    <row r="108" spans="2:18" x14ac:dyDescent="0.35">
      <c r="B108" s="32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R108" s="44">
        <f>2*$R$15*$R18*$Z41</f>
        <v>1.6283103684049471E-5</v>
      </c>
    </row>
    <row r="109" spans="2:18" x14ac:dyDescent="0.35">
      <c r="B109" s="32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R109" s="44">
        <f>2*$R$16*$R17*$AA40</f>
        <v>2.9685071787001404E-5</v>
      </c>
    </row>
    <row r="110" spans="2:18" x14ac:dyDescent="0.35">
      <c r="B110" s="32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R110" s="44">
        <f>2*$R$16*$R18*$AA41</f>
        <v>1.4378524026581986E-5</v>
      </c>
    </row>
    <row r="111" spans="2:18" x14ac:dyDescent="0.35">
      <c r="B111" s="32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R111" s="17">
        <f>2*$R$17*$R18*$AB41</f>
        <v>2.0357603455347976E-5</v>
      </c>
    </row>
    <row r="112" spans="2:18" x14ac:dyDescent="0.35">
      <c r="B112" s="32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R112" s="81">
        <f>SUM(R46:R111)</f>
        <v>1.1061215302933579E-3</v>
      </c>
    </row>
    <row r="113" spans="2:18" x14ac:dyDescent="0.35">
      <c r="B113" s="32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R113" s="17"/>
    </row>
    <row r="114" spans="2:18" x14ac:dyDescent="0.35">
      <c r="B114" s="32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2:18" x14ac:dyDescent="0.35">
      <c r="B115" s="32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2:18" x14ac:dyDescent="0.35">
      <c r="B116" s="32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2:18" x14ac:dyDescent="0.35">
      <c r="B117" s="32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2:18" x14ac:dyDescent="0.35">
      <c r="B118" s="32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2:18" x14ac:dyDescent="0.35">
      <c r="B119" s="32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2:18" x14ac:dyDescent="0.35">
      <c r="B120" s="32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2:18" x14ac:dyDescent="0.35">
      <c r="B121" s="32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2:18" x14ac:dyDescent="0.35">
      <c r="B122" s="32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2:18" x14ac:dyDescent="0.35">
      <c r="B123" s="32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2:18" x14ac:dyDescent="0.35">
      <c r="B124" s="32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2:18" x14ac:dyDescent="0.35">
      <c r="B125" s="32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2:18" x14ac:dyDescent="0.35">
      <c r="B126" s="32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2:18" x14ac:dyDescent="0.35">
      <c r="B127" s="32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2:18" x14ac:dyDescent="0.35">
      <c r="B128" s="32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2:13" x14ac:dyDescent="0.35">
      <c r="B129" s="32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2:13" x14ac:dyDescent="0.35">
      <c r="B130" s="32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2:13" x14ac:dyDescent="0.35">
      <c r="B131" s="32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2:13" x14ac:dyDescent="0.35">
      <c r="B132" s="32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2:13" x14ac:dyDescent="0.35">
      <c r="B133" s="32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2:13" x14ac:dyDescent="0.35">
      <c r="B134" s="32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2:13" x14ac:dyDescent="0.35">
      <c r="B135" s="32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2:13" x14ac:dyDescent="0.35">
      <c r="B136" s="32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2:13" x14ac:dyDescent="0.35">
      <c r="B137" s="32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2:13" x14ac:dyDescent="0.35">
      <c r="B138" s="32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  <row r="139" spans="2:13" x14ac:dyDescent="0.35">
      <c r="B139" s="32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</row>
    <row r="140" spans="2:13" x14ac:dyDescent="0.35">
      <c r="B140" s="32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2:13" x14ac:dyDescent="0.35">
      <c r="B141" s="32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</row>
    <row r="142" spans="2:13" x14ac:dyDescent="0.35">
      <c r="B142" s="32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2:13" x14ac:dyDescent="0.35">
      <c r="B143" s="32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2:13" x14ac:dyDescent="0.35">
      <c r="B144" s="32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2:13" x14ac:dyDescent="0.35">
      <c r="B145" s="32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2:13" x14ac:dyDescent="0.35">
      <c r="B146" s="32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2:13" x14ac:dyDescent="0.35">
      <c r="B147" s="32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2:13" x14ac:dyDescent="0.35">
      <c r="B148" s="32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2:13" x14ac:dyDescent="0.35">
      <c r="B149" s="32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2:13" x14ac:dyDescent="0.35">
      <c r="B150" s="32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2:13" x14ac:dyDescent="0.35">
      <c r="B151" s="32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2:13" x14ac:dyDescent="0.35">
      <c r="B152" s="32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2:13" x14ac:dyDescent="0.35">
      <c r="B153" s="32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2:13" x14ac:dyDescent="0.35">
      <c r="B154" s="32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2:13" x14ac:dyDescent="0.35">
      <c r="B155" s="32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2:13" x14ac:dyDescent="0.35">
      <c r="B156" s="32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2:13" x14ac:dyDescent="0.35">
      <c r="B157" s="32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2:13" x14ac:dyDescent="0.35">
      <c r="B158" s="32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2:13" x14ac:dyDescent="0.35">
      <c r="B159" s="32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2:13" x14ac:dyDescent="0.35">
      <c r="B160" s="32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2:13" x14ac:dyDescent="0.35">
      <c r="B161" s="32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2:13" x14ac:dyDescent="0.35">
      <c r="B162" s="32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2:13" x14ac:dyDescent="0.35">
      <c r="B163" s="32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2:13" x14ac:dyDescent="0.35">
      <c r="B164" s="32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2:13" x14ac:dyDescent="0.35">
      <c r="B165" s="32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2:13" x14ac:dyDescent="0.35">
      <c r="B166" s="32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2:13" x14ac:dyDescent="0.35">
      <c r="B167" s="32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2:13" x14ac:dyDescent="0.35">
      <c r="B168" s="32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2:13" x14ac:dyDescent="0.35">
      <c r="B169" s="32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2:13" x14ac:dyDescent="0.35">
      <c r="B170" s="32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2:13" x14ac:dyDescent="0.35">
      <c r="B171" s="32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2:13" x14ac:dyDescent="0.35">
      <c r="B172" s="32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2:13" x14ac:dyDescent="0.35">
      <c r="B173" s="32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2:13" x14ac:dyDescent="0.35">
      <c r="B174" s="32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2:13" x14ac:dyDescent="0.35">
      <c r="B175" s="32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2:13" x14ac:dyDescent="0.35">
      <c r="B176" s="32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2:13" x14ac:dyDescent="0.35">
      <c r="B177" s="32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2:13" x14ac:dyDescent="0.35">
      <c r="B178" s="32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2:13" x14ac:dyDescent="0.35">
      <c r="B179" s="32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2:13" x14ac:dyDescent="0.35">
      <c r="B180" s="32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2:13" x14ac:dyDescent="0.35">
      <c r="B181" s="32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2:13" x14ac:dyDescent="0.35">
      <c r="B182" s="32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2:13" x14ac:dyDescent="0.35">
      <c r="B183" s="32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2:13" x14ac:dyDescent="0.35">
      <c r="B184" s="32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2:13" x14ac:dyDescent="0.35">
      <c r="B185" s="32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2:13" x14ac:dyDescent="0.35">
      <c r="B186" s="32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2:13" x14ac:dyDescent="0.35">
      <c r="B187" s="32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2:13" x14ac:dyDescent="0.35">
      <c r="B188" s="32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2:13" x14ac:dyDescent="0.35">
      <c r="B189" s="32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2:13" x14ac:dyDescent="0.35">
      <c r="B190" s="32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2:13" x14ac:dyDescent="0.35">
      <c r="B191" s="32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2:13" x14ac:dyDescent="0.35">
      <c r="B192" s="32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2:13" x14ac:dyDescent="0.35">
      <c r="B193" s="32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2:13" x14ac:dyDescent="0.35">
      <c r="B194" s="32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2:13" x14ac:dyDescent="0.35">
      <c r="B195" s="32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2:13" x14ac:dyDescent="0.35">
      <c r="B196" s="32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2:13" x14ac:dyDescent="0.35">
      <c r="B197" s="32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2:13" x14ac:dyDescent="0.35">
      <c r="B198" s="32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2:13" x14ac:dyDescent="0.35">
      <c r="B199" s="32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2:13" x14ac:dyDescent="0.35">
      <c r="B200" s="32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2:13" x14ac:dyDescent="0.35">
      <c r="B201" s="32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  <row r="202" spans="2:13" x14ac:dyDescent="0.35">
      <c r="B202" s="32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</row>
    <row r="203" spans="2:13" x14ac:dyDescent="0.35">
      <c r="B203" s="32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</row>
    <row r="204" spans="2:13" x14ac:dyDescent="0.35">
      <c r="B204" s="32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</row>
    <row r="205" spans="2:13" x14ac:dyDescent="0.35">
      <c r="B205" s="32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</row>
    <row r="206" spans="2:13" x14ac:dyDescent="0.35">
      <c r="B206" s="32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</row>
    <row r="207" spans="2:13" x14ac:dyDescent="0.35">
      <c r="B207" s="32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</row>
    <row r="208" spans="2:13" x14ac:dyDescent="0.35">
      <c r="B208" s="32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</row>
    <row r="209" spans="2:13" x14ac:dyDescent="0.35">
      <c r="B209" s="32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</row>
    <row r="210" spans="2:13" x14ac:dyDescent="0.35">
      <c r="B210" s="32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</row>
    <row r="211" spans="2:13" x14ac:dyDescent="0.35">
      <c r="B211" s="32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</row>
    <row r="212" spans="2:13" x14ac:dyDescent="0.35">
      <c r="B212" s="32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</row>
    <row r="213" spans="2:13" x14ac:dyDescent="0.35">
      <c r="B213" s="32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</row>
    <row r="214" spans="2:13" x14ac:dyDescent="0.35">
      <c r="B214" s="32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</row>
    <row r="215" spans="2:13" x14ac:dyDescent="0.35">
      <c r="B215" s="32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</row>
    <row r="216" spans="2:13" x14ac:dyDescent="0.35">
      <c r="B216" s="32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</row>
    <row r="217" spans="2:13" x14ac:dyDescent="0.35">
      <c r="B217" s="32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</row>
    <row r="218" spans="2:13" x14ac:dyDescent="0.35">
      <c r="B218" s="32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</row>
    <row r="219" spans="2:13" x14ac:dyDescent="0.35">
      <c r="B219" s="32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</row>
    <row r="220" spans="2:13" x14ac:dyDescent="0.35">
      <c r="B220" s="32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</row>
    <row r="221" spans="2:13" x14ac:dyDescent="0.35">
      <c r="B221" s="32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</row>
    <row r="222" spans="2:13" x14ac:dyDescent="0.35">
      <c r="B222" s="32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</row>
    <row r="223" spans="2:13" x14ac:dyDescent="0.35">
      <c r="B223" s="32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</row>
    <row r="224" spans="2:13" x14ac:dyDescent="0.35">
      <c r="B224" s="32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</row>
    <row r="225" spans="2:13" x14ac:dyDescent="0.35">
      <c r="B225" s="32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</row>
    <row r="226" spans="2:13" x14ac:dyDescent="0.35">
      <c r="B226" s="32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</row>
    <row r="227" spans="2:13" x14ac:dyDescent="0.35">
      <c r="B227" s="32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</row>
    <row r="228" spans="2:13" x14ac:dyDescent="0.35">
      <c r="B228" s="32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</row>
    <row r="229" spans="2:13" x14ac:dyDescent="0.35">
      <c r="B229" s="32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</row>
    <row r="230" spans="2:13" x14ac:dyDescent="0.35">
      <c r="B230" s="32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</row>
    <row r="231" spans="2:13" x14ac:dyDescent="0.35">
      <c r="B231" s="32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</row>
    <row r="232" spans="2:13" x14ac:dyDescent="0.35">
      <c r="B232" s="32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</row>
    <row r="233" spans="2:13" x14ac:dyDescent="0.35">
      <c r="B233" s="32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</row>
    <row r="234" spans="2:13" x14ac:dyDescent="0.35">
      <c r="B234" s="32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</row>
    <row r="235" spans="2:13" x14ac:dyDescent="0.35">
      <c r="B235" s="32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</row>
    <row r="236" spans="2:13" x14ac:dyDescent="0.35">
      <c r="B236" s="32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</row>
    <row r="237" spans="2:13" x14ac:dyDescent="0.35">
      <c r="B237" s="32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</row>
    <row r="238" spans="2:13" x14ac:dyDescent="0.35">
      <c r="B238" s="32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</row>
    <row r="239" spans="2:13" x14ac:dyDescent="0.35">
      <c r="B239" s="32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</row>
    <row r="240" spans="2:13" x14ac:dyDescent="0.35">
      <c r="B240" s="32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</row>
    <row r="241" spans="2:13" x14ac:dyDescent="0.35">
      <c r="B241" s="32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</row>
    <row r="242" spans="2:13" x14ac:dyDescent="0.35">
      <c r="B242" s="32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</row>
    <row r="243" spans="2:13" x14ac:dyDescent="0.35">
      <c r="B243" s="32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</row>
    <row r="244" spans="2:13" x14ac:dyDescent="0.35">
      <c r="B244" s="32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</row>
    <row r="245" spans="2:13" x14ac:dyDescent="0.35">
      <c r="B245" s="32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</row>
    <row r="246" spans="2:13" x14ac:dyDescent="0.35">
      <c r="B246" s="32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</row>
    <row r="247" spans="2:13" x14ac:dyDescent="0.35">
      <c r="B247" s="32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</row>
    <row r="248" spans="2:13" x14ac:dyDescent="0.35">
      <c r="B248" s="32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</row>
    <row r="249" spans="2:13" x14ac:dyDescent="0.35">
      <c r="B249" s="32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</row>
    <row r="250" spans="2:13" x14ac:dyDescent="0.35">
      <c r="B250" s="32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</row>
    <row r="251" spans="2:13" x14ac:dyDescent="0.35">
      <c r="B251" s="32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</row>
    <row r="252" spans="2:13" x14ac:dyDescent="0.35">
      <c r="B252" s="32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</row>
    <row r="253" spans="2:13" x14ac:dyDescent="0.35">
      <c r="B253" s="32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</row>
    <row r="254" spans="2:13" x14ac:dyDescent="0.35">
      <c r="B254" s="32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</row>
    <row r="255" spans="2:13" x14ac:dyDescent="0.35">
      <c r="B255" s="32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</row>
    <row r="256" spans="2:13" x14ac:dyDescent="0.35">
      <c r="B256" s="32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</row>
    <row r="257" spans="2:13" x14ac:dyDescent="0.35">
      <c r="B257" s="32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</row>
    <row r="258" spans="2:13" x14ac:dyDescent="0.35">
      <c r="B258" s="32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</row>
    <row r="259" spans="2:13" x14ac:dyDescent="0.35">
      <c r="B259" s="32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</row>
    <row r="260" spans="2:13" x14ac:dyDescent="0.35">
      <c r="B260" s="32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</row>
    <row r="261" spans="2:13" x14ac:dyDescent="0.35">
      <c r="B261" s="32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</row>
    <row r="262" spans="2:13" x14ac:dyDescent="0.35">
      <c r="B262" s="32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</row>
    <row r="263" spans="2:13" x14ac:dyDescent="0.35">
      <c r="B263" s="32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</row>
    <row r="264" spans="2:13" x14ac:dyDescent="0.35">
      <c r="B264" s="32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</row>
    <row r="265" spans="2:13" x14ac:dyDescent="0.35">
      <c r="B265" s="32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</row>
    <row r="266" spans="2:13" x14ac:dyDescent="0.35">
      <c r="B266" s="32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</row>
    <row r="267" spans="2:13" x14ac:dyDescent="0.35">
      <c r="B267" s="32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</row>
    <row r="268" spans="2:13" x14ac:dyDescent="0.35">
      <c r="B268" s="32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</row>
    <row r="269" spans="2:13" x14ac:dyDescent="0.35">
      <c r="B269" s="32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</row>
    <row r="270" spans="2:13" x14ac:dyDescent="0.35">
      <c r="B270" s="32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</row>
    <row r="271" spans="2:13" x14ac:dyDescent="0.35">
      <c r="B271" s="32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</row>
    <row r="272" spans="2:13" x14ac:dyDescent="0.35">
      <c r="B272" s="32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</row>
    <row r="273" spans="2:13" x14ac:dyDescent="0.35">
      <c r="B273" s="32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</row>
    <row r="274" spans="2:13" x14ac:dyDescent="0.35">
      <c r="B274" s="32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</row>
    <row r="275" spans="2:13" x14ac:dyDescent="0.35">
      <c r="B275" s="32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</row>
    <row r="276" spans="2:13" x14ac:dyDescent="0.35">
      <c r="B276" s="32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</row>
    <row r="277" spans="2:13" x14ac:dyDescent="0.35">
      <c r="B277" s="32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</row>
    <row r="278" spans="2:13" x14ac:dyDescent="0.35">
      <c r="B278" s="32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</row>
    <row r="279" spans="2:13" x14ac:dyDescent="0.35">
      <c r="B279" s="32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</row>
    <row r="280" spans="2:13" x14ac:dyDescent="0.35">
      <c r="B280" s="32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</row>
    <row r="281" spans="2:13" x14ac:dyDescent="0.35">
      <c r="B281" s="32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</row>
    <row r="282" spans="2:13" x14ac:dyDescent="0.35">
      <c r="B282" s="32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</row>
    <row r="283" spans="2:13" x14ac:dyDescent="0.35">
      <c r="B283" s="32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</row>
    <row r="284" spans="2:13" x14ac:dyDescent="0.35">
      <c r="B284" s="32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</row>
    <row r="285" spans="2:13" x14ac:dyDescent="0.35">
      <c r="B285" s="32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</row>
    <row r="286" spans="2:13" x14ac:dyDescent="0.35">
      <c r="B286" s="32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</row>
    <row r="287" spans="2:13" x14ac:dyDescent="0.35">
      <c r="B287" s="32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</row>
    <row r="288" spans="2:13" x14ac:dyDescent="0.35">
      <c r="B288" s="32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</row>
    <row r="289" spans="2:13" x14ac:dyDescent="0.35">
      <c r="B289" s="32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</row>
    <row r="290" spans="2:13" x14ac:dyDescent="0.35">
      <c r="B290" s="32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</row>
    <row r="291" spans="2:13" x14ac:dyDescent="0.35">
      <c r="B291" s="32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</row>
    <row r="292" spans="2:13" x14ac:dyDescent="0.35">
      <c r="B292" s="32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</row>
    <row r="293" spans="2:13" x14ac:dyDescent="0.35">
      <c r="B293" s="32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</row>
    <row r="294" spans="2:13" x14ac:dyDescent="0.35">
      <c r="B294" s="32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</row>
    <row r="295" spans="2:13" x14ac:dyDescent="0.35">
      <c r="B295" s="32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</row>
    <row r="296" spans="2:13" x14ac:dyDescent="0.35">
      <c r="B296" s="32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</row>
    <row r="297" spans="2:13" x14ac:dyDescent="0.35">
      <c r="B297" s="32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</row>
    <row r="298" spans="2:13" x14ac:dyDescent="0.35">
      <c r="B298" s="32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</row>
    <row r="299" spans="2:13" x14ac:dyDescent="0.35">
      <c r="B299" s="32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</row>
    <row r="300" spans="2:13" x14ac:dyDescent="0.35">
      <c r="B300" s="32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</row>
    <row r="301" spans="2:13" x14ac:dyDescent="0.35">
      <c r="B301" s="32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</row>
    <row r="302" spans="2:13" x14ac:dyDescent="0.35">
      <c r="B302" s="32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</row>
    <row r="303" spans="2:13" x14ac:dyDescent="0.35">
      <c r="B303" s="32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</row>
    <row r="304" spans="2:13" x14ac:dyDescent="0.35">
      <c r="B304" s="32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</row>
    <row r="305" spans="2:13" x14ac:dyDescent="0.35">
      <c r="B305" s="32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</row>
    <row r="306" spans="2:13" x14ac:dyDescent="0.35">
      <c r="B306" s="32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</row>
    <row r="307" spans="2:13" x14ac:dyDescent="0.35">
      <c r="B307" s="32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</row>
    <row r="308" spans="2:13" x14ac:dyDescent="0.35">
      <c r="B308" s="32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</row>
    <row r="309" spans="2:13" x14ac:dyDescent="0.35">
      <c r="B309" s="32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</row>
    <row r="310" spans="2:13" x14ac:dyDescent="0.35">
      <c r="B310" s="32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</row>
    <row r="311" spans="2:13" x14ac:dyDescent="0.35">
      <c r="B311" s="32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</row>
    <row r="312" spans="2:13" x14ac:dyDescent="0.35">
      <c r="B312" s="32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</row>
    <row r="313" spans="2:13" x14ac:dyDescent="0.35">
      <c r="B313" s="32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</row>
    <row r="314" spans="2:13" x14ac:dyDescent="0.35">
      <c r="B314" s="32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</row>
    <row r="315" spans="2:13" x14ac:dyDescent="0.35">
      <c r="B315" s="32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</row>
    <row r="316" spans="2:13" x14ac:dyDescent="0.35">
      <c r="B316" s="32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</row>
    <row r="317" spans="2:13" x14ac:dyDescent="0.35">
      <c r="B317" s="32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</row>
    <row r="318" spans="2:13" x14ac:dyDescent="0.35">
      <c r="B318" s="32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</row>
    <row r="319" spans="2:13" x14ac:dyDescent="0.35">
      <c r="B319" s="32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</row>
    <row r="320" spans="2:13" x14ac:dyDescent="0.35">
      <c r="B320" s="32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</row>
    <row r="321" spans="2:13" x14ac:dyDescent="0.35">
      <c r="B321" s="32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</row>
    <row r="322" spans="2:13" x14ac:dyDescent="0.35">
      <c r="B322" s="32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</row>
    <row r="323" spans="2:13" x14ac:dyDescent="0.35">
      <c r="B323" s="32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</row>
    <row r="324" spans="2:13" x14ac:dyDescent="0.35">
      <c r="B324" s="32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</row>
    <row r="325" spans="2:13" x14ac:dyDescent="0.35">
      <c r="B325" s="32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</row>
    <row r="326" spans="2:13" x14ac:dyDescent="0.35">
      <c r="B326" s="32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</row>
    <row r="327" spans="2:13" x14ac:dyDescent="0.35">
      <c r="B327" s="32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</row>
    <row r="328" spans="2:13" x14ac:dyDescent="0.35">
      <c r="B328" s="32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</row>
    <row r="329" spans="2:13" x14ac:dyDescent="0.35">
      <c r="B329" s="32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</row>
    <row r="330" spans="2:13" x14ac:dyDescent="0.35">
      <c r="B330" s="32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</row>
    <row r="331" spans="2:13" x14ac:dyDescent="0.35">
      <c r="B331" s="32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</row>
    <row r="332" spans="2:13" x14ac:dyDescent="0.35">
      <c r="B332" s="32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</row>
    <row r="333" spans="2:13" x14ac:dyDescent="0.35">
      <c r="B333" s="32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</row>
    <row r="334" spans="2:13" x14ac:dyDescent="0.35">
      <c r="B334" s="32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</row>
    <row r="335" spans="2:13" x14ac:dyDescent="0.35">
      <c r="B335" s="32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</row>
    <row r="336" spans="2:13" x14ac:dyDescent="0.35">
      <c r="B336" s="32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</row>
    <row r="337" spans="2:13" x14ac:dyDescent="0.35">
      <c r="B337" s="32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</row>
    <row r="338" spans="2:13" x14ac:dyDescent="0.35">
      <c r="B338" s="32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</row>
    <row r="339" spans="2:13" x14ac:dyDescent="0.35">
      <c r="B339" s="32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</row>
    <row r="340" spans="2:13" x14ac:dyDescent="0.35">
      <c r="B340" s="32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</row>
    <row r="341" spans="2:13" x14ac:dyDescent="0.35">
      <c r="B341" s="32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</row>
    <row r="342" spans="2:13" x14ac:dyDescent="0.35">
      <c r="B342" s="32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</row>
    <row r="343" spans="2:13" x14ac:dyDescent="0.35">
      <c r="B343" s="32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</row>
    <row r="344" spans="2:13" x14ac:dyDescent="0.35">
      <c r="B344" s="32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</row>
    <row r="345" spans="2:13" x14ac:dyDescent="0.35">
      <c r="B345" s="32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</row>
    <row r="346" spans="2:13" x14ac:dyDescent="0.35">
      <c r="B346" s="32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</row>
    <row r="347" spans="2:13" x14ac:dyDescent="0.35">
      <c r="B347" s="32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</row>
    <row r="348" spans="2:13" x14ac:dyDescent="0.35">
      <c r="B348" s="32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</row>
    <row r="349" spans="2:13" x14ac:dyDescent="0.35">
      <c r="B349" s="32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</row>
    <row r="350" spans="2:13" x14ac:dyDescent="0.35">
      <c r="B350" s="32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</row>
    <row r="351" spans="2:13" x14ac:dyDescent="0.35">
      <c r="B351" s="32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</row>
    <row r="352" spans="2:13" x14ac:dyDescent="0.35">
      <c r="B352" s="32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</row>
    <row r="353" spans="2:13" x14ac:dyDescent="0.35">
      <c r="B353" s="32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</row>
    <row r="354" spans="2:13" x14ac:dyDescent="0.35">
      <c r="B354" s="32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</row>
    <row r="355" spans="2:13" x14ac:dyDescent="0.35">
      <c r="B355" s="32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</row>
    <row r="356" spans="2:13" x14ac:dyDescent="0.35">
      <c r="B356" s="32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</row>
    <row r="357" spans="2:13" x14ac:dyDescent="0.35">
      <c r="B357" s="32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</row>
    <row r="358" spans="2:13" x14ac:dyDescent="0.35">
      <c r="B358" s="32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</row>
    <row r="359" spans="2:13" x14ac:dyDescent="0.35">
      <c r="B359" s="32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</row>
    <row r="360" spans="2:13" x14ac:dyDescent="0.35">
      <c r="B360" s="32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</row>
    <row r="361" spans="2:13" x14ac:dyDescent="0.35">
      <c r="B361" s="32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</row>
    <row r="362" spans="2:13" x14ac:dyDescent="0.35">
      <c r="B362" s="32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</row>
    <row r="363" spans="2:13" x14ac:dyDescent="0.35">
      <c r="B363" s="32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</row>
    <row r="364" spans="2:13" x14ac:dyDescent="0.35">
      <c r="B364" s="32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</row>
    <row r="365" spans="2:13" x14ac:dyDescent="0.35">
      <c r="B365" s="32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</row>
    <row r="366" spans="2:13" x14ac:dyDescent="0.35">
      <c r="B366" s="32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</row>
    <row r="367" spans="2:13" x14ac:dyDescent="0.35">
      <c r="B367" s="32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</row>
    <row r="368" spans="2:13" x14ac:dyDescent="0.35">
      <c r="B368" s="32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</row>
    <row r="369" spans="2:13" x14ac:dyDescent="0.35">
      <c r="B369" s="32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</row>
    <row r="370" spans="2:13" x14ac:dyDescent="0.35">
      <c r="B370" s="32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</row>
    <row r="371" spans="2:13" x14ac:dyDescent="0.35">
      <c r="B371" s="32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</row>
    <row r="372" spans="2:13" x14ac:dyDescent="0.35">
      <c r="B372" s="32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</row>
    <row r="373" spans="2:13" x14ac:dyDescent="0.35">
      <c r="B373" s="32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</row>
    <row r="374" spans="2:13" x14ac:dyDescent="0.35">
      <c r="B374" s="32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</row>
    <row r="375" spans="2:13" x14ac:dyDescent="0.35">
      <c r="B375" s="32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</row>
    <row r="376" spans="2:13" x14ac:dyDescent="0.35">
      <c r="B376" s="32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</row>
    <row r="377" spans="2:13" x14ac:dyDescent="0.35">
      <c r="B377" s="32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</row>
    <row r="378" spans="2:13" x14ac:dyDescent="0.35">
      <c r="B378" s="32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</row>
    <row r="379" spans="2:13" x14ac:dyDescent="0.35">
      <c r="B379" s="32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</row>
    <row r="380" spans="2:13" x14ac:dyDescent="0.35">
      <c r="B380" s="32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</row>
    <row r="381" spans="2:13" x14ac:dyDescent="0.35">
      <c r="B381" s="32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</row>
    <row r="382" spans="2:13" x14ac:dyDescent="0.35">
      <c r="B382" s="32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</row>
    <row r="383" spans="2:13" x14ac:dyDescent="0.35">
      <c r="B383" s="32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</row>
    <row r="384" spans="2:13" x14ac:dyDescent="0.35">
      <c r="B384" s="32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</row>
    <row r="385" spans="2:13" x14ac:dyDescent="0.35">
      <c r="B385" s="32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</row>
    <row r="386" spans="2:13" x14ac:dyDescent="0.35">
      <c r="B386" s="32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</row>
    <row r="387" spans="2:13" x14ac:dyDescent="0.35">
      <c r="B387" s="32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</row>
    <row r="388" spans="2:13" x14ac:dyDescent="0.35">
      <c r="B388" s="32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</row>
    <row r="389" spans="2:13" x14ac:dyDescent="0.35">
      <c r="B389" s="32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</row>
    <row r="390" spans="2:13" x14ac:dyDescent="0.35">
      <c r="B390" s="32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</row>
    <row r="391" spans="2:13" x14ac:dyDescent="0.35">
      <c r="B391" s="32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</row>
    <row r="392" spans="2:13" x14ac:dyDescent="0.35">
      <c r="B392" s="32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</row>
    <row r="393" spans="2:13" x14ac:dyDescent="0.35">
      <c r="B393" s="32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</row>
    <row r="394" spans="2:13" x14ac:dyDescent="0.35">
      <c r="B394" s="32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</row>
    <row r="395" spans="2:13" x14ac:dyDescent="0.35">
      <c r="B395" s="32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</row>
    <row r="396" spans="2:13" x14ac:dyDescent="0.35">
      <c r="B396" s="32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</row>
    <row r="397" spans="2:13" x14ac:dyDescent="0.35">
      <c r="B397" s="32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</row>
    <row r="398" spans="2:13" x14ac:dyDescent="0.35">
      <c r="B398" s="32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</row>
    <row r="399" spans="2:13" x14ac:dyDescent="0.35">
      <c r="B399" s="32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</row>
    <row r="400" spans="2:13" x14ac:dyDescent="0.35">
      <c r="B400" s="32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</row>
    <row r="401" spans="2:13" x14ac:dyDescent="0.35">
      <c r="B401" s="32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</row>
    <row r="402" spans="2:13" x14ac:dyDescent="0.35">
      <c r="B402" s="32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</row>
    <row r="403" spans="2:13" x14ac:dyDescent="0.35">
      <c r="B403" s="32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</row>
    <row r="404" spans="2:13" x14ac:dyDescent="0.35">
      <c r="B404" s="32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</row>
    <row r="405" spans="2:13" x14ac:dyDescent="0.35">
      <c r="B405" s="32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</row>
    <row r="406" spans="2:13" x14ac:dyDescent="0.35">
      <c r="B406" s="32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</row>
    <row r="407" spans="2:13" x14ac:dyDescent="0.35">
      <c r="B407" s="32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</row>
    <row r="408" spans="2:13" x14ac:dyDescent="0.35">
      <c r="B408" s="32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</row>
    <row r="409" spans="2:13" x14ac:dyDescent="0.35">
      <c r="B409" s="32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</row>
    <row r="410" spans="2:13" x14ac:dyDescent="0.35">
      <c r="B410" s="32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</row>
    <row r="411" spans="2:13" x14ac:dyDescent="0.35">
      <c r="B411" s="32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</row>
    <row r="412" spans="2:13" x14ac:dyDescent="0.35">
      <c r="B412" s="32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</row>
    <row r="413" spans="2:13" x14ac:dyDescent="0.35">
      <c r="B413" s="32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</row>
    <row r="414" spans="2:13" x14ac:dyDescent="0.35">
      <c r="B414" s="32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</row>
    <row r="415" spans="2:13" x14ac:dyDescent="0.35">
      <c r="B415" s="32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</row>
    <row r="416" spans="2:13" x14ac:dyDescent="0.35">
      <c r="B416" s="32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</row>
    <row r="417" spans="2:13" x14ac:dyDescent="0.35">
      <c r="B417" s="32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</row>
    <row r="418" spans="2:13" x14ac:dyDescent="0.35">
      <c r="B418" s="32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</row>
    <row r="419" spans="2:13" x14ac:dyDescent="0.35">
      <c r="B419" s="32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</row>
    <row r="420" spans="2:13" x14ac:dyDescent="0.35">
      <c r="B420" s="32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</row>
    <row r="421" spans="2:13" x14ac:dyDescent="0.35">
      <c r="B421" s="32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</row>
    <row r="422" spans="2:13" x14ac:dyDescent="0.35">
      <c r="B422" s="32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</row>
    <row r="423" spans="2:13" x14ac:dyDescent="0.35">
      <c r="B423" s="32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</row>
    <row r="424" spans="2:13" x14ac:dyDescent="0.35">
      <c r="B424" s="32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</row>
    <row r="425" spans="2:13" x14ac:dyDescent="0.35">
      <c r="B425" s="32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</row>
    <row r="426" spans="2:13" x14ac:dyDescent="0.35">
      <c r="B426" s="32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</row>
    <row r="427" spans="2:13" x14ac:dyDescent="0.35">
      <c r="B427" s="32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</row>
    <row r="428" spans="2:13" x14ac:dyDescent="0.35">
      <c r="B428" s="32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</row>
    <row r="429" spans="2:13" x14ac:dyDescent="0.35">
      <c r="B429" s="32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</row>
    <row r="430" spans="2:13" x14ac:dyDescent="0.35">
      <c r="B430" s="32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</row>
    <row r="431" spans="2:13" x14ac:dyDescent="0.35">
      <c r="B431" s="32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</row>
    <row r="432" spans="2:13" x14ac:dyDescent="0.35">
      <c r="B432" s="32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</row>
    <row r="433" spans="2:13" x14ac:dyDescent="0.35">
      <c r="B433" s="32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</row>
    <row r="434" spans="2:13" x14ac:dyDescent="0.35">
      <c r="B434" s="32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</row>
    <row r="435" spans="2:13" x14ac:dyDescent="0.35">
      <c r="B435" s="32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</row>
    <row r="436" spans="2:13" x14ac:dyDescent="0.35">
      <c r="B436" s="32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</row>
    <row r="437" spans="2:13" x14ac:dyDescent="0.35">
      <c r="B437" s="32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</row>
    <row r="438" spans="2:13" x14ac:dyDescent="0.35">
      <c r="B438" s="32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</row>
    <row r="439" spans="2:13" x14ac:dyDescent="0.35">
      <c r="B439" s="32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</row>
    <row r="440" spans="2:13" x14ac:dyDescent="0.35">
      <c r="B440" s="32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</row>
    <row r="441" spans="2:13" x14ac:dyDescent="0.35">
      <c r="B441" s="32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</row>
    <row r="442" spans="2:13" x14ac:dyDescent="0.35">
      <c r="B442" s="32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</row>
    <row r="443" spans="2:13" x14ac:dyDescent="0.35">
      <c r="B443" s="32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</row>
    <row r="444" spans="2:13" x14ac:dyDescent="0.35">
      <c r="B444" s="32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</row>
    <row r="445" spans="2:13" x14ac:dyDescent="0.35">
      <c r="B445" s="32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</row>
    <row r="446" spans="2:13" x14ac:dyDescent="0.35">
      <c r="B446" s="32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</row>
    <row r="447" spans="2:13" x14ac:dyDescent="0.35">
      <c r="B447" s="32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</row>
    <row r="448" spans="2:13" x14ac:dyDescent="0.35">
      <c r="B448" s="32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</row>
    <row r="449" spans="2:13" x14ac:dyDescent="0.35">
      <c r="B449" s="32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</row>
    <row r="450" spans="2:13" x14ac:dyDescent="0.35">
      <c r="B450" s="32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</row>
    <row r="451" spans="2:13" x14ac:dyDescent="0.35">
      <c r="B451" s="32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</row>
    <row r="452" spans="2:13" x14ac:dyDescent="0.35">
      <c r="B452" s="32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</row>
    <row r="453" spans="2:13" x14ac:dyDescent="0.35">
      <c r="B453" s="32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</row>
    <row r="454" spans="2:13" x14ac:dyDescent="0.35">
      <c r="B454" s="32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</row>
    <row r="455" spans="2:13" x14ac:dyDescent="0.35">
      <c r="B455" s="32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</row>
    <row r="456" spans="2:13" x14ac:dyDescent="0.35">
      <c r="B456" s="32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</row>
    <row r="457" spans="2:13" x14ac:dyDescent="0.35">
      <c r="B457" s="32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</row>
    <row r="458" spans="2:13" x14ac:dyDescent="0.35">
      <c r="B458" s="32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</row>
    <row r="459" spans="2:13" x14ac:dyDescent="0.35">
      <c r="B459" s="32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</row>
    <row r="460" spans="2:13" x14ac:dyDescent="0.35">
      <c r="B460" s="32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</row>
    <row r="461" spans="2:13" x14ac:dyDescent="0.35">
      <c r="B461" s="32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</row>
    <row r="462" spans="2:13" x14ac:dyDescent="0.35">
      <c r="B462" s="32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</row>
    <row r="463" spans="2:13" x14ac:dyDescent="0.35">
      <c r="B463" s="32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</row>
    <row r="464" spans="2:13" x14ac:dyDescent="0.35">
      <c r="B464" s="32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</row>
    <row r="465" spans="2:13" x14ac:dyDescent="0.35">
      <c r="B465" s="32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</row>
    <row r="466" spans="2:13" x14ac:dyDescent="0.35">
      <c r="B466" s="32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</row>
    <row r="467" spans="2:13" x14ac:dyDescent="0.35">
      <c r="B467" s="32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</row>
    <row r="468" spans="2:13" x14ac:dyDescent="0.35">
      <c r="B468" s="32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</row>
    <row r="469" spans="2:13" x14ac:dyDescent="0.35">
      <c r="B469" s="32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</row>
    <row r="470" spans="2:13" x14ac:dyDescent="0.35">
      <c r="B470" s="32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</row>
    <row r="471" spans="2:13" x14ac:dyDescent="0.35">
      <c r="B471" s="32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</row>
    <row r="472" spans="2:13" x14ac:dyDescent="0.35">
      <c r="B472" s="32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</row>
    <row r="473" spans="2:13" x14ac:dyDescent="0.35">
      <c r="B473" s="32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</row>
    <row r="474" spans="2:13" x14ac:dyDescent="0.35">
      <c r="B474" s="32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</row>
    <row r="475" spans="2:13" x14ac:dyDescent="0.35">
      <c r="B475" s="32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</row>
    <row r="476" spans="2:13" x14ac:dyDescent="0.35">
      <c r="B476" s="32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</row>
    <row r="477" spans="2:13" x14ac:dyDescent="0.35">
      <c r="B477" s="32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</row>
    <row r="478" spans="2:13" x14ac:dyDescent="0.35">
      <c r="B478" s="32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</row>
    <row r="479" spans="2:13" x14ac:dyDescent="0.35">
      <c r="B479" s="32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</row>
    <row r="480" spans="2:13" x14ac:dyDescent="0.35">
      <c r="B480" s="32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</row>
    <row r="481" spans="2:13" x14ac:dyDescent="0.35">
      <c r="B481" s="32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</row>
    <row r="482" spans="2:13" x14ac:dyDescent="0.35">
      <c r="B482" s="32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</row>
    <row r="483" spans="2:13" x14ac:dyDescent="0.35">
      <c r="B483" s="32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</row>
    <row r="484" spans="2:13" x14ac:dyDescent="0.35">
      <c r="B484" s="32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</row>
    <row r="485" spans="2:13" x14ac:dyDescent="0.35">
      <c r="B485" s="32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</row>
    <row r="486" spans="2:13" x14ac:dyDescent="0.35">
      <c r="B486" s="32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</row>
    <row r="487" spans="2:13" x14ac:dyDescent="0.35">
      <c r="B487" s="32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</row>
    <row r="488" spans="2:13" x14ac:dyDescent="0.35">
      <c r="B488" s="32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</row>
    <row r="489" spans="2:13" x14ac:dyDescent="0.35">
      <c r="B489" s="32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</row>
    <row r="490" spans="2:13" x14ac:dyDescent="0.35">
      <c r="B490" s="32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</row>
    <row r="491" spans="2:13" x14ac:dyDescent="0.35">
      <c r="B491" s="32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</row>
    <row r="492" spans="2:13" x14ac:dyDescent="0.35">
      <c r="B492" s="32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</row>
    <row r="493" spans="2:13" x14ac:dyDescent="0.35">
      <c r="B493" s="32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</row>
    <row r="494" spans="2:13" x14ac:dyDescent="0.35">
      <c r="B494" s="32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</row>
    <row r="495" spans="2:13" x14ac:dyDescent="0.35">
      <c r="B495" s="32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</row>
    <row r="496" spans="2:13" x14ac:dyDescent="0.35">
      <c r="B496" s="32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</row>
    <row r="497" spans="2:13" x14ac:dyDescent="0.35">
      <c r="B497" s="32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</row>
    <row r="498" spans="2:13" x14ac:dyDescent="0.35">
      <c r="B498" s="32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</row>
    <row r="499" spans="2:13" x14ac:dyDescent="0.35">
      <c r="B499" s="32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</row>
    <row r="500" spans="2:13" x14ac:dyDescent="0.35">
      <c r="B500" s="32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</row>
    <row r="501" spans="2:13" x14ac:dyDescent="0.35">
      <c r="B501" s="32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</row>
    <row r="502" spans="2:13" x14ac:dyDescent="0.35">
      <c r="B502" s="32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</row>
    <row r="503" spans="2:13" x14ac:dyDescent="0.35">
      <c r="B503" s="32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</row>
    <row r="504" spans="2:13" x14ac:dyDescent="0.35">
      <c r="B504" s="32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</row>
    <row r="505" spans="2:13" x14ac:dyDescent="0.35">
      <c r="B505" s="32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</row>
    <row r="506" spans="2:13" x14ac:dyDescent="0.35">
      <c r="B506" s="32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</row>
    <row r="507" spans="2:13" x14ac:dyDescent="0.35">
      <c r="B507" s="32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</row>
    <row r="508" spans="2:13" x14ac:dyDescent="0.35">
      <c r="B508" s="32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</row>
    <row r="509" spans="2:13" x14ac:dyDescent="0.35">
      <c r="B509" s="32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</row>
    <row r="510" spans="2:13" x14ac:dyDescent="0.35">
      <c r="B510" s="32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</row>
    <row r="511" spans="2:13" x14ac:dyDescent="0.35">
      <c r="B511" s="32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</row>
    <row r="512" spans="2:13" x14ac:dyDescent="0.35">
      <c r="B512" s="32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</row>
    <row r="513" spans="2:13" x14ac:dyDescent="0.35">
      <c r="B513" s="32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</row>
    <row r="514" spans="2:13" x14ac:dyDescent="0.35">
      <c r="B514" s="32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</row>
    <row r="515" spans="2:13" x14ac:dyDescent="0.35">
      <c r="B515" s="32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</row>
    <row r="516" spans="2:13" x14ac:dyDescent="0.35">
      <c r="B516" s="32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</row>
    <row r="517" spans="2:13" x14ac:dyDescent="0.35">
      <c r="B517" s="32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</row>
    <row r="518" spans="2:13" x14ac:dyDescent="0.35">
      <c r="B518" s="32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</row>
    <row r="519" spans="2:13" x14ac:dyDescent="0.35">
      <c r="B519" s="32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</row>
    <row r="520" spans="2:13" x14ac:dyDescent="0.35">
      <c r="B520" s="32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</row>
    <row r="521" spans="2:13" x14ac:dyDescent="0.35">
      <c r="B521" s="32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</row>
    <row r="522" spans="2:13" x14ac:dyDescent="0.35">
      <c r="B522" s="32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</row>
    <row r="523" spans="2:13" x14ac:dyDescent="0.35">
      <c r="B523" s="32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</row>
    <row r="524" spans="2:13" x14ac:dyDescent="0.35">
      <c r="B524" s="32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</row>
    <row r="525" spans="2:13" x14ac:dyDescent="0.35">
      <c r="B525" s="32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</row>
    <row r="526" spans="2:13" x14ac:dyDescent="0.35">
      <c r="B526" s="32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</row>
    <row r="527" spans="2:13" x14ac:dyDescent="0.35">
      <c r="B527" s="32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</row>
    <row r="528" spans="2:13" x14ac:dyDescent="0.35">
      <c r="B528" s="32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</row>
    <row r="529" spans="2:13" x14ac:dyDescent="0.35">
      <c r="B529" s="32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</row>
    <row r="530" spans="2:13" x14ac:dyDescent="0.35">
      <c r="B530" s="32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</row>
    <row r="531" spans="2:13" x14ac:dyDescent="0.35">
      <c r="B531" s="32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</row>
    <row r="532" spans="2:13" x14ac:dyDescent="0.35">
      <c r="B532" s="32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</row>
    <row r="533" spans="2:13" x14ac:dyDescent="0.35">
      <c r="B533" s="32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</row>
    <row r="534" spans="2:13" x14ac:dyDescent="0.35">
      <c r="B534" s="32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</row>
    <row r="535" spans="2:13" x14ac:dyDescent="0.35">
      <c r="B535" s="32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</row>
    <row r="536" spans="2:13" x14ac:dyDescent="0.35">
      <c r="B536" s="32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</row>
    <row r="537" spans="2:13" x14ac:dyDescent="0.35">
      <c r="B537" s="32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</row>
    <row r="538" spans="2:13" x14ac:dyDescent="0.35">
      <c r="B538" s="32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</row>
    <row r="539" spans="2:13" x14ac:dyDescent="0.35">
      <c r="B539" s="32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</row>
    <row r="540" spans="2:13" x14ac:dyDescent="0.35">
      <c r="B540" s="32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</row>
    <row r="541" spans="2:13" x14ac:dyDescent="0.35">
      <c r="B541" s="32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</row>
    <row r="542" spans="2:13" x14ac:dyDescent="0.35">
      <c r="B542" s="32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</row>
    <row r="543" spans="2:13" x14ac:dyDescent="0.35">
      <c r="B543" s="32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</row>
    <row r="544" spans="2:13" x14ac:dyDescent="0.35">
      <c r="B544" s="32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</row>
    <row r="545" spans="2:13" x14ac:dyDescent="0.35">
      <c r="B545" s="32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</row>
    <row r="546" spans="2:13" x14ac:dyDescent="0.35">
      <c r="B546" s="32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</row>
    <row r="547" spans="2:13" x14ac:dyDescent="0.35">
      <c r="B547" s="32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</row>
    <row r="548" spans="2:13" x14ac:dyDescent="0.35">
      <c r="B548" s="32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</row>
    <row r="549" spans="2:13" x14ac:dyDescent="0.35">
      <c r="B549" s="32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</row>
    <row r="550" spans="2:13" x14ac:dyDescent="0.35">
      <c r="B550" s="32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</row>
    <row r="551" spans="2:13" x14ac:dyDescent="0.35">
      <c r="B551" s="32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</row>
    <row r="552" spans="2:13" x14ac:dyDescent="0.35">
      <c r="B552" s="32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</row>
    <row r="553" spans="2:13" x14ac:dyDescent="0.35">
      <c r="B553" s="32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</row>
    <row r="554" spans="2:13" x14ac:dyDescent="0.35">
      <c r="B554" s="32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</row>
    <row r="555" spans="2:13" x14ac:dyDescent="0.35">
      <c r="B555" s="32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</row>
    <row r="556" spans="2:13" x14ac:dyDescent="0.35">
      <c r="B556" s="32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</row>
    <row r="557" spans="2:13" x14ac:dyDescent="0.35">
      <c r="B557" s="32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</row>
    <row r="558" spans="2:13" x14ac:dyDescent="0.35">
      <c r="B558" s="32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</row>
    <row r="559" spans="2:13" x14ac:dyDescent="0.35">
      <c r="B559" s="32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</row>
    <row r="560" spans="2:13" x14ac:dyDescent="0.35">
      <c r="B560" s="32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</row>
    <row r="561" spans="2:13" x14ac:dyDescent="0.35">
      <c r="B561" s="32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</row>
    <row r="562" spans="2:13" x14ac:dyDescent="0.35">
      <c r="B562" s="32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</row>
    <row r="563" spans="2:13" x14ac:dyDescent="0.35">
      <c r="B563" s="32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</row>
    <row r="564" spans="2:13" x14ac:dyDescent="0.35">
      <c r="B564" s="32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</row>
    <row r="565" spans="2:13" x14ac:dyDescent="0.35">
      <c r="B565" s="32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</row>
    <row r="566" spans="2:13" x14ac:dyDescent="0.35">
      <c r="B566" s="32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</row>
    <row r="567" spans="2:13" x14ac:dyDescent="0.35">
      <c r="B567" s="32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</row>
    <row r="568" spans="2:13" x14ac:dyDescent="0.35">
      <c r="B568" s="32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</row>
    <row r="569" spans="2:13" x14ac:dyDescent="0.35">
      <c r="B569" s="32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</row>
    <row r="570" spans="2:13" x14ac:dyDescent="0.35">
      <c r="B570" s="32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</row>
    <row r="571" spans="2:13" x14ac:dyDescent="0.35">
      <c r="B571" s="32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</row>
    <row r="572" spans="2:13" x14ac:dyDescent="0.35">
      <c r="B572" s="32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</row>
    <row r="573" spans="2:13" x14ac:dyDescent="0.35">
      <c r="B573" s="32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</row>
    <row r="574" spans="2:13" x14ac:dyDescent="0.35">
      <c r="B574" s="32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</row>
    <row r="575" spans="2:13" x14ac:dyDescent="0.35">
      <c r="B575" s="32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</row>
    <row r="576" spans="2:13" x14ac:dyDescent="0.35">
      <c r="B576" s="32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</row>
    <row r="577" spans="2:13" x14ac:dyDescent="0.35">
      <c r="B577" s="32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</row>
    <row r="578" spans="2:13" x14ac:dyDescent="0.35">
      <c r="B578" s="32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</row>
    <row r="579" spans="2:13" x14ac:dyDescent="0.35">
      <c r="B579" s="32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</row>
    <row r="580" spans="2:13" x14ac:dyDescent="0.35">
      <c r="B580" s="32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</row>
    <row r="581" spans="2:13" x14ac:dyDescent="0.35">
      <c r="B581" s="32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</row>
    <row r="582" spans="2:13" x14ac:dyDescent="0.35">
      <c r="B582" s="32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</row>
    <row r="583" spans="2:13" x14ac:dyDescent="0.35">
      <c r="B583" s="32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</row>
    <row r="584" spans="2:13" x14ac:dyDescent="0.35">
      <c r="B584" s="32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</row>
    <row r="585" spans="2:13" x14ac:dyDescent="0.35">
      <c r="B585" s="32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</row>
    <row r="586" spans="2:13" x14ac:dyDescent="0.35">
      <c r="B586" s="32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</row>
    <row r="587" spans="2:13" x14ac:dyDescent="0.35">
      <c r="B587" s="32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</row>
    <row r="588" spans="2:13" x14ac:dyDescent="0.35">
      <c r="B588" s="32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</row>
    <row r="589" spans="2:13" x14ac:dyDescent="0.35">
      <c r="B589" s="32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</row>
    <row r="590" spans="2:13" x14ac:dyDescent="0.35">
      <c r="B590" s="32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</row>
    <row r="591" spans="2:13" x14ac:dyDescent="0.35">
      <c r="B591" s="32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</row>
    <row r="592" spans="2:13" x14ac:dyDescent="0.35">
      <c r="B592" s="32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</row>
    <row r="593" spans="2:13" x14ac:dyDescent="0.35">
      <c r="B593" s="32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</row>
    <row r="594" spans="2:13" x14ac:dyDescent="0.35">
      <c r="B594" s="32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</row>
    <row r="595" spans="2:13" x14ac:dyDescent="0.35">
      <c r="B595" s="32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</row>
    <row r="596" spans="2:13" x14ac:dyDescent="0.35">
      <c r="B596" s="32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</row>
    <row r="597" spans="2:13" x14ac:dyDescent="0.35">
      <c r="B597" s="32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</row>
    <row r="598" spans="2:13" x14ac:dyDescent="0.35">
      <c r="B598" s="32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</row>
    <row r="599" spans="2:13" x14ac:dyDescent="0.35">
      <c r="B599" s="32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</row>
    <row r="600" spans="2:13" x14ac:dyDescent="0.35">
      <c r="B600" s="32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</row>
    <row r="601" spans="2:13" x14ac:dyDescent="0.35">
      <c r="B601" s="32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</row>
    <row r="602" spans="2:13" x14ac:dyDescent="0.35">
      <c r="B602" s="32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</row>
    <row r="603" spans="2:13" x14ac:dyDescent="0.35">
      <c r="B603" s="32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</row>
    <row r="604" spans="2:13" x14ac:dyDescent="0.35">
      <c r="B604" s="32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</row>
    <row r="605" spans="2:13" x14ac:dyDescent="0.35">
      <c r="B605" s="32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</row>
    <row r="606" spans="2:13" x14ac:dyDescent="0.35">
      <c r="B606" s="32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</row>
    <row r="607" spans="2:13" x14ac:dyDescent="0.35">
      <c r="B607" s="32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</row>
    <row r="608" spans="2:13" x14ac:dyDescent="0.35">
      <c r="B608" s="32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</row>
    <row r="609" spans="2:13" x14ac:dyDescent="0.35">
      <c r="B609" s="32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</row>
    <row r="610" spans="2:13" x14ac:dyDescent="0.35">
      <c r="B610" s="32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</row>
    <row r="611" spans="2:13" x14ac:dyDescent="0.35">
      <c r="B611" s="32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</row>
    <row r="612" spans="2:13" x14ac:dyDescent="0.35">
      <c r="B612" s="32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</row>
    <row r="613" spans="2:13" x14ac:dyDescent="0.35">
      <c r="B613" s="32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</row>
    <row r="614" spans="2:13" x14ac:dyDescent="0.35">
      <c r="B614" s="32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</row>
    <row r="615" spans="2:13" x14ac:dyDescent="0.35">
      <c r="B615" s="32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</row>
    <row r="616" spans="2:13" x14ac:dyDescent="0.35">
      <c r="B616" s="32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</row>
    <row r="617" spans="2:13" x14ac:dyDescent="0.35">
      <c r="B617" s="32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</row>
    <row r="618" spans="2:13" x14ac:dyDescent="0.35">
      <c r="B618" s="32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</row>
    <row r="619" spans="2:13" x14ac:dyDescent="0.35">
      <c r="B619" s="32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</row>
    <row r="620" spans="2:13" x14ac:dyDescent="0.35">
      <c r="B620" s="32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</row>
    <row r="621" spans="2:13" x14ac:dyDescent="0.35">
      <c r="B621" s="32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</row>
    <row r="622" spans="2:13" x14ac:dyDescent="0.35">
      <c r="B622" s="32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</row>
    <row r="623" spans="2:13" x14ac:dyDescent="0.35">
      <c r="B623" s="32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</row>
    <row r="624" spans="2:13" x14ac:dyDescent="0.35">
      <c r="B624" s="32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</row>
    <row r="625" spans="2:13" x14ac:dyDescent="0.35">
      <c r="B625" s="32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</row>
    <row r="626" spans="2:13" x14ac:dyDescent="0.35">
      <c r="B626" s="32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</row>
    <row r="627" spans="2:13" x14ac:dyDescent="0.35">
      <c r="B627" s="32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</row>
    <row r="628" spans="2:13" x14ac:dyDescent="0.35">
      <c r="B628" s="32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</row>
    <row r="629" spans="2:13" x14ac:dyDescent="0.35">
      <c r="B629" s="32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</row>
    <row r="630" spans="2:13" x14ac:dyDescent="0.35">
      <c r="B630" s="32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</row>
    <row r="631" spans="2:13" x14ac:dyDescent="0.35">
      <c r="B631" s="32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</row>
    <row r="632" spans="2:13" x14ac:dyDescent="0.35">
      <c r="B632" s="32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</row>
    <row r="633" spans="2:13" x14ac:dyDescent="0.35">
      <c r="B633" s="32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</row>
    <row r="634" spans="2:13" x14ac:dyDescent="0.35">
      <c r="B634" s="32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</row>
    <row r="635" spans="2:13" x14ac:dyDescent="0.35">
      <c r="B635" s="32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</row>
    <row r="636" spans="2:13" x14ac:dyDescent="0.35">
      <c r="B636" s="32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</row>
    <row r="637" spans="2:13" x14ac:dyDescent="0.35">
      <c r="B637" s="32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</row>
    <row r="638" spans="2:13" x14ac:dyDescent="0.35">
      <c r="B638" s="32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</row>
    <row r="639" spans="2:13" x14ac:dyDescent="0.35">
      <c r="B639" s="32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</row>
    <row r="640" spans="2:13" x14ac:dyDescent="0.35">
      <c r="B640" s="32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</row>
    <row r="641" spans="2:13" x14ac:dyDescent="0.35">
      <c r="B641" s="32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</row>
    <row r="642" spans="2:13" x14ac:dyDescent="0.35">
      <c r="B642" s="32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</row>
    <row r="643" spans="2:13" x14ac:dyDescent="0.35">
      <c r="B643" s="32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</row>
    <row r="644" spans="2:13" x14ac:dyDescent="0.35">
      <c r="B644" s="32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</row>
    <row r="645" spans="2:13" x14ac:dyDescent="0.35">
      <c r="B645" s="32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</row>
    <row r="646" spans="2:13" x14ac:dyDescent="0.35">
      <c r="B646" s="32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</row>
    <row r="647" spans="2:13" x14ac:dyDescent="0.35">
      <c r="B647" s="32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</row>
    <row r="648" spans="2:13" x14ac:dyDescent="0.35">
      <c r="B648" s="32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</row>
    <row r="649" spans="2:13" x14ac:dyDescent="0.35">
      <c r="B649" s="32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</row>
    <row r="650" spans="2:13" x14ac:dyDescent="0.35">
      <c r="B650" s="32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</row>
    <row r="651" spans="2:13" x14ac:dyDescent="0.35">
      <c r="B651" s="32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</row>
    <row r="652" spans="2:13" x14ac:dyDescent="0.35">
      <c r="B652" s="32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</row>
    <row r="653" spans="2:13" x14ac:dyDescent="0.35">
      <c r="B653" s="32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</row>
    <row r="654" spans="2:13" x14ac:dyDescent="0.35">
      <c r="B654" s="32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</row>
    <row r="655" spans="2:13" x14ac:dyDescent="0.35">
      <c r="B655" s="32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</row>
    <row r="656" spans="2:13" x14ac:dyDescent="0.35">
      <c r="B656" s="32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</row>
    <row r="657" spans="2:13" x14ac:dyDescent="0.35">
      <c r="B657" s="32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</row>
    <row r="658" spans="2:13" x14ac:dyDescent="0.35">
      <c r="B658" s="32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</row>
    <row r="659" spans="2:13" x14ac:dyDescent="0.35">
      <c r="B659" s="32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</row>
    <row r="660" spans="2:13" x14ac:dyDescent="0.35">
      <c r="B660" s="32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</row>
    <row r="661" spans="2:13" x14ac:dyDescent="0.35">
      <c r="B661" s="32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</row>
    <row r="662" spans="2:13" x14ac:dyDescent="0.35">
      <c r="B662" s="32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</row>
    <row r="663" spans="2:13" x14ac:dyDescent="0.35">
      <c r="B663" s="32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</row>
    <row r="664" spans="2:13" x14ac:dyDescent="0.35">
      <c r="B664" s="32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</row>
    <row r="665" spans="2:13" x14ac:dyDescent="0.35">
      <c r="B665" s="32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</row>
    <row r="666" spans="2:13" x14ac:dyDescent="0.35">
      <c r="B666" s="32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</row>
    <row r="667" spans="2:13" x14ac:dyDescent="0.35">
      <c r="B667" s="32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</row>
    <row r="668" spans="2:13" x14ac:dyDescent="0.35">
      <c r="B668" s="32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</row>
    <row r="669" spans="2:13" x14ac:dyDescent="0.35">
      <c r="B669" s="32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</row>
    <row r="670" spans="2:13" x14ac:dyDescent="0.35">
      <c r="B670" s="32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</row>
    <row r="671" spans="2:13" x14ac:dyDescent="0.35">
      <c r="B671" s="32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</row>
    <row r="672" spans="2:13" x14ac:dyDescent="0.35">
      <c r="B672" s="32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</row>
    <row r="673" spans="2:13" x14ac:dyDescent="0.35">
      <c r="B673" s="32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</row>
    <row r="674" spans="2:13" x14ac:dyDescent="0.35">
      <c r="B674" s="32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</row>
    <row r="675" spans="2:13" x14ac:dyDescent="0.35">
      <c r="B675" s="32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</row>
    <row r="676" spans="2:13" x14ac:dyDescent="0.35">
      <c r="B676" s="32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</row>
    <row r="677" spans="2:13" x14ac:dyDescent="0.35">
      <c r="B677" s="32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</row>
    <row r="678" spans="2:13" x14ac:dyDescent="0.35">
      <c r="B678" s="32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</row>
    <row r="679" spans="2:13" x14ac:dyDescent="0.35">
      <c r="B679" s="32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</row>
    <row r="680" spans="2:13" x14ac:dyDescent="0.35">
      <c r="B680" s="32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</row>
    <row r="681" spans="2:13" x14ac:dyDescent="0.35">
      <c r="B681" s="32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</row>
    <row r="682" spans="2:13" x14ac:dyDescent="0.35">
      <c r="B682" s="32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</row>
    <row r="683" spans="2:13" x14ac:dyDescent="0.35">
      <c r="B683" s="32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</row>
    <row r="684" spans="2:13" x14ac:dyDescent="0.35">
      <c r="B684" s="32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</row>
    <row r="685" spans="2:13" x14ac:dyDescent="0.35">
      <c r="B685" s="32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</row>
    <row r="686" spans="2:13" x14ac:dyDescent="0.35">
      <c r="B686" s="32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</row>
    <row r="687" spans="2:13" x14ac:dyDescent="0.35">
      <c r="B687" s="32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</row>
    <row r="688" spans="2:13" x14ac:dyDescent="0.35">
      <c r="B688" s="32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</row>
    <row r="689" spans="2:13" x14ac:dyDescent="0.35">
      <c r="B689" s="32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</row>
    <row r="690" spans="2:13" x14ac:dyDescent="0.35">
      <c r="B690" s="32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</row>
    <row r="691" spans="2:13" x14ac:dyDescent="0.35">
      <c r="B691" s="32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</row>
    <row r="692" spans="2:13" x14ac:dyDescent="0.35">
      <c r="B692" s="32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</row>
    <row r="693" spans="2:13" x14ac:dyDescent="0.35">
      <c r="B693" s="32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</row>
    <row r="694" spans="2:13" x14ac:dyDescent="0.35">
      <c r="B694" s="32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</row>
    <row r="695" spans="2:13" x14ac:dyDescent="0.35">
      <c r="B695" s="32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</row>
    <row r="696" spans="2:13" x14ac:dyDescent="0.35">
      <c r="B696" s="32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</row>
    <row r="697" spans="2:13" x14ac:dyDescent="0.35">
      <c r="B697" s="32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</row>
    <row r="698" spans="2:13" x14ac:dyDescent="0.35">
      <c r="B698" s="32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</row>
    <row r="699" spans="2:13" x14ac:dyDescent="0.35">
      <c r="B699" s="32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</row>
    <row r="700" spans="2:13" x14ac:dyDescent="0.35">
      <c r="B700" s="32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</row>
    <row r="701" spans="2:13" x14ac:dyDescent="0.35">
      <c r="B701" s="32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</row>
    <row r="702" spans="2:13" x14ac:dyDescent="0.35">
      <c r="B702" s="32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</row>
    <row r="703" spans="2:13" x14ac:dyDescent="0.35">
      <c r="B703" s="32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</row>
    <row r="704" spans="2:13" x14ac:dyDescent="0.35">
      <c r="B704" s="32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</row>
    <row r="705" spans="2:13" x14ac:dyDescent="0.35">
      <c r="B705" s="32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</row>
    <row r="706" spans="2:13" x14ac:dyDescent="0.35">
      <c r="B706" s="32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</row>
    <row r="707" spans="2:13" x14ac:dyDescent="0.35">
      <c r="B707" s="32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</row>
    <row r="708" spans="2:13" x14ac:dyDescent="0.35">
      <c r="B708" s="32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</row>
    <row r="709" spans="2:13" x14ac:dyDescent="0.35">
      <c r="B709" s="32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</row>
    <row r="710" spans="2:13" x14ac:dyDescent="0.35">
      <c r="B710" s="32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</row>
    <row r="711" spans="2:13" x14ac:dyDescent="0.35">
      <c r="B711" s="32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</row>
    <row r="712" spans="2:13" x14ac:dyDescent="0.35">
      <c r="B712" s="32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</row>
    <row r="713" spans="2:13" x14ac:dyDescent="0.35">
      <c r="B713" s="32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</row>
    <row r="714" spans="2:13" x14ac:dyDescent="0.35">
      <c r="B714" s="32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</row>
    <row r="715" spans="2:13" x14ac:dyDescent="0.35">
      <c r="B715" s="32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</row>
    <row r="716" spans="2:13" x14ac:dyDescent="0.35">
      <c r="B716" s="32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</row>
    <row r="717" spans="2:13" x14ac:dyDescent="0.35">
      <c r="B717" s="32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</row>
    <row r="718" spans="2:13" x14ac:dyDescent="0.35">
      <c r="B718" s="32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</row>
    <row r="719" spans="2:13" x14ac:dyDescent="0.35">
      <c r="B719" s="32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</row>
    <row r="720" spans="2:13" x14ac:dyDescent="0.35">
      <c r="B720" s="32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</row>
    <row r="721" spans="2:13" x14ac:dyDescent="0.35">
      <c r="B721" s="32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</row>
    <row r="722" spans="2:13" x14ac:dyDescent="0.35">
      <c r="B722" s="32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</row>
    <row r="723" spans="2:13" x14ac:dyDescent="0.35">
      <c r="B723" s="32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</row>
    <row r="724" spans="2:13" x14ac:dyDescent="0.35">
      <c r="B724" s="32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</row>
    <row r="725" spans="2:13" x14ac:dyDescent="0.35">
      <c r="B725" s="32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</row>
    <row r="726" spans="2:13" x14ac:dyDescent="0.35">
      <c r="B726" s="32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</row>
    <row r="727" spans="2:13" x14ac:dyDescent="0.35">
      <c r="B727" s="32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</row>
    <row r="728" spans="2:13" x14ac:dyDescent="0.35">
      <c r="B728" s="32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</row>
    <row r="729" spans="2:13" x14ac:dyDescent="0.35">
      <c r="B729" s="32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</row>
    <row r="730" spans="2:13" x14ac:dyDescent="0.35">
      <c r="B730" s="32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</row>
    <row r="731" spans="2:13" x14ac:dyDescent="0.35">
      <c r="B731" s="32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</row>
    <row r="732" spans="2:13" x14ac:dyDescent="0.35">
      <c r="B732" s="32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</row>
    <row r="733" spans="2:13" x14ac:dyDescent="0.35">
      <c r="B733" s="32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</row>
    <row r="734" spans="2:13" x14ac:dyDescent="0.35">
      <c r="B734" s="32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</row>
    <row r="735" spans="2:13" x14ac:dyDescent="0.35">
      <c r="B735" s="32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</row>
    <row r="736" spans="2:13" x14ac:dyDescent="0.35">
      <c r="B736" s="32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</row>
    <row r="737" spans="2:13" x14ac:dyDescent="0.35">
      <c r="B737" s="32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</row>
    <row r="738" spans="2:13" x14ac:dyDescent="0.35">
      <c r="B738" s="32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</row>
    <row r="739" spans="2:13" x14ac:dyDescent="0.35">
      <c r="B739" s="32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</row>
    <row r="740" spans="2:13" x14ac:dyDescent="0.35">
      <c r="B740" s="32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</row>
    <row r="741" spans="2:13" x14ac:dyDescent="0.35">
      <c r="B741" s="32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</row>
    <row r="742" spans="2:13" x14ac:dyDescent="0.35">
      <c r="B742" s="32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</row>
    <row r="743" spans="2:13" x14ac:dyDescent="0.35">
      <c r="B743" s="32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</row>
    <row r="744" spans="2:13" x14ac:dyDescent="0.35">
      <c r="B744" s="32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</row>
    <row r="745" spans="2:13" x14ac:dyDescent="0.35">
      <c r="B745" s="32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</row>
    <row r="746" spans="2:13" x14ac:dyDescent="0.35">
      <c r="B746" s="32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</row>
    <row r="747" spans="2:13" x14ac:dyDescent="0.35">
      <c r="B747" s="32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</row>
    <row r="748" spans="2:13" x14ac:dyDescent="0.35">
      <c r="B748" s="32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</row>
    <row r="749" spans="2:13" x14ac:dyDescent="0.35">
      <c r="B749" s="32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</row>
    <row r="750" spans="2:13" x14ac:dyDescent="0.35">
      <c r="B750" s="32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</row>
    <row r="751" spans="2:13" x14ac:dyDescent="0.35">
      <c r="B751" s="32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</row>
    <row r="752" spans="2:13" x14ac:dyDescent="0.35">
      <c r="B752" s="32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</row>
    <row r="753" spans="2:13" x14ac:dyDescent="0.35">
      <c r="B753" s="32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</row>
    <row r="754" spans="2:13" x14ac:dyDescent="0.35">
      <c r="B754" s="32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</row>
    <row r="755" spans="2:13" x14ac:dyDescent="0.35">
      <c r="B755" s="32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</row>
    <row r="756" spans="2:13" x14ac:dyDescent="0.35">
      <c r="B756" s="32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</row>
    <row r="757" spans="2:13" x14ac:dyDescent="0.35">
      <c r="B757" s="32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</row>
    <row r="758" spans="2:13" x14ac:dyDescent="0.35">
      <c r="B758" s="32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</row>
    <row r="759" spans="2:13" x14ac:dyDescent="0.35">
      <c r="B759" s="32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</row>
    <row r="760" spans="2:13" x14ac:dyDescent="0.35">
      <c r="B760" s="32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</row>
    <row r="761" spans="2:13" x14ac:dyDescent="0.35">
      <c r="B761" s="32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</row>
    <row r="762" spans="2:13" x14ac:dyDescent="0.35">
      <c r="B762" s="32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</row>
    <row r="763" spans="2:13" x14ac:dyDescent="0.35">
      <c r="B763" s="32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</row>
    <row r="764" spans="2:13" x14ac:dyDescent="0.35">
      <c r="B764" s="32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</row>
    <row r="765" spans="2:13" x14ac:dyDescent="0.35">
      <c r="B765" s="32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</row>
    <row r="766" spans="2:13" x14ac:dyDescent="0.35">
      <c r="B766" s="32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</row>
    <row r="767" spans="2:13" x14ac:dyDescent="0.35">
      <c r="B767" s="32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</row>
    <row r="768" spans="2:13" x14ac:dyDescent="0.35">
      <c r="B768" s="32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</row>
    <row r="769" spans="2:13" x14ac:dyDescent="0.35">
      <c r="B769" s="32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</row>
    <row r="770" spans="2:13" x14ac:dyDescent="0.35">
      <c r="B770" s="32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</row>
    <row r="771" spans="2:13" x14ac:dyDescent="0.35">
      <c r="B771" s="32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</row>
    <row r="772" spans="2:13" x14ac:dyDescent="0.35">
      <c r="B772" s="32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</row>
    <row r="773" spans="2:13" x14ac:dyDescent="0.35">
      <c r="B773" s="32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</row>
    <row r="774" spans="2:13" x14ac:dyDescent="0.35">
      <c r="B774" s="32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</row>
    <row r="775" spans="2:13" x14ac:dyDescent="0.35">
      <c r="B775" s="32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</row>
    <row r="776" spans="2:13" x14ac:dyDescent="0.35">
      <c r="B776" s="32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</row>
    <row r="777" spans="2:13" x14ac:dyDescent="0.35">
      <c r="B777" s="32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</row>
    <row r="778" spans="2:13" x14ac:dyDescent="0.35">
      <c r="B778" s="32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</row>
    <row r="779" spans="2:13" x14ac:dyDescent="0.35">
      <c r="B779" s="32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</row>
    <row r="780" spans="2:13" x14ac:dyDescent="0.35">
      <c r="B780" s="32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</row>
    <row r="781" spans="2:13" x14ac:dyDescent="0.35">
      <c r="B781" s="32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</row>
    <row r="782" spans="2:13" x14ac:dyDescent="0.35">
      <c r="B782" s="32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</row>
    <row r="783" spans="2:13" x14ac:dyDescent="0.35">
      <c r="B783" s="32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</row>
    <row r="784" spans="2:13" x14ac:dyDescent="0.35">
      <c r="B784" s="32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</row>
    <row r="785" spans="2:13" x14ac:dyDescent="0.35">
      <c r="B785" s="32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</row>
    <row r="786" spans="2:13" x14ac:dyDescent="0.35">
      <c r="B786" s="32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</row>
    <row r="787" spans="2:13" x14ac:dyDescent="0.35">
      <c r="B787" s="32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</row>
    <row r="788" spans="2:13" x14ac:dyDescent="0.35">
      <c r="B788" s="32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</row>
    <row r="789" spans="2:13" x14ac:dyDescent="0.35">
      <c r="B789" s="32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</row>
    <row r="790" spans="2:13" x14ac:dyDescent="0.35">
      <c r="B790" s="32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</row>
    <row r="791" spans="2:13" x14ac:dyDescent="0.35">
      <c r="B791" s="32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</row>
    <row r="792" spans="2:13" x14ac:dyDescent="0.35">
      <c r="B792" s="32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</row>
    <row r="793" spans="2:13" x14ac:dyDescent="0.35">
      <c r="B793" s="32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</row>
    <row r="794" spans="2:13" x14ac:dyDescent="0.35">
      <c r="B794" s="32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</row>
    <row r="795" spans="2:13" x14ac:dyDescent="0.35">
      <c r="B795" s="32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</row>
    <row r="796" spans="2:13" x14ac:dyDescent="0.35">
      <c r="B796" s="32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</row>
    <row r="797" spans="2:13" x14ac:dyDescent="0.35">
      <c r="B797" s="32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</row>
    <row r="798" spans="2:13" x14ac:dyDescent="0.35">
      <c r="B798" s="32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</row>
    <row r="799" spans="2:13" x14ac:dyDescent="0.35">
      <c r="B799" s="32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</row>
    <row r="800" spans="2:13" x14ac:dyDescent="0.35">
      <c r="B800" s="32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</row>
    <row r="801" spans="2:13" x14ac:dyDescent="0.35">
      <c r="B801" s="32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</row>
    <row r="802" spans="2:13" x14ac:dyDescent="0.35">
      <c r="B802" s="32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</row>
    <row r="803" spans="2:13" x14ac:dyDescent="0.35">
      <c r="B803" s="32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</row>
    <row r="804" spans="2:13" x14ac:dyDescent="0.35">
      <c r="B804" s="32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</row>
    <row r="805" spans="2:13" x14ac:dyDescent="0.35">
      <c r="B805" s="32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</row>
    <row r="806" spans="2:13" x14ac:dyDescent="0.35">
      <c r="B806" s="32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</row>
    <row r="807" spans="2:13" x14ac:dyDescent="0.35">
      <c r="B807" s="32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</row>
    <row r="808" spans="2:13" x14ac:dyDescent="0.35">
      <c r="B808" s="32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</row>
    <row r="809" spans="2:13" x14ac:dyDescent="0.35">
      <c r="B809" s="32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</row>
    <row r="810" spans="2:13" x14ac:dyDescent="0.35">
      <c r="B810" s="32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</row>
    <row r="811" spans="2:13" x14ac:dyDescent="0.35">
      <c r="B811" s="32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</row>
    <row r="812" spans="2:13" x14ac:dyDescent="0.35">
      <c r="B812" s="32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</row>
    <row r="813" spans="2:13" x14ac:dyDescent="0.35">
      <c r="B813" s="32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</row>
    <row r="814" spans="2:13" x14ac:dyDescent="0.35">
      <c r="B814" s="32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</row>
    <row r="815" spans="2:13" x14ac:dyDescent="0.35">
      <c r="B815" s="32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</row>
    <row r="816" spans="2:13" x14ac:dyDescent="0.35">
      <c r="B816" s="32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</row>
    <row r="817" spans="2:13" x14ac:dyDescent="0.35">
      <c r="B817" s="32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</row>
    <row r="818" spans="2:13" x14ac:dyDescent="0.35">
      <c r="B818" s="32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</row>
    <row r="819" spans="2:13" x14ac:dyDescent="0.35">
      <c r="B819" s="32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</row>
    <row r="820" spans="2:13" x14ac:dyDescent="0.35">
      <c r="B820" s="32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</row>
    <row r="821" spans="2:13" x14ac:dyDescent="0.35">
      <c r="B821" s="32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</row>
    <row r="822" spans="2:13" x14ac:dyDescent="0.35">
      <c r="B822" s="32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</row>
    <row r="823" spans="2:13" x14ac:dyDescent="0.35">
      <c r="B823" s="32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</row>
    <row r="824" spans="2:13" x14ac:dyDescent="0.35">
      <c r="B824" s="32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</row>
    <row r="825" spans="2:13" x14ac:dyDescent="0.35">
      <c r="B825" s="32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</row>
    <row r="826" spans="2:13" x14ac:dyDescent="0.35">
      <c r="B826" s="32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</row>
    <row r="827" spans="2:13" x14ac:dyDescent="0.35">
      <c r="B827" s="32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</row>
    <row r="828" spans="2:13" x14ac:dyDescent="0.35">
      <c r="B828" s="32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</row>
    <row r="829" spans="2:13" x14ac:dyDescent="0.35">
      <c r="B829" s="32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</row>
    <row r="830" spans="2:13" x14ac:dyDescent="0.35">
      <c r="B830" s="32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</row>
    <row r="831" spans="2:13" x14ac:dyDescent="0.35">
      <c r="B831" s="32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</row>
    <row r="832" spans="2:13" x14ac:dyDescent="0.35">
      <c r="B832" s="32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</row>
    <row r="833" spans="2:13" x14ac:dyDescent="0.35">
      <c r="B833" s="32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</row>
    <row r="834" spans="2:13" x14ac:dyDescent="0.35">
      <c r="B834" s="32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</row>
    <row r="835" spans="2:13" x14ac:dyDescent="0.35">
      <c r="B835" s="32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</row>
    <row r="836" spans="2:13" x14ac:dyDescent="0.35">
      <c r="B836" s="32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</row>
    <row r="837" spans="2:13" x14ac:dyDescent="0.35">
      <c r="B837" s="32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</row>
    <row r="838" spans="2:13" x14ac:dyDescent="0.35">
      <c r="B838" s="32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</row>
    <row r="839" spans="2:13" x14ac:dyDescent="0.35">
      <c r="B839" s="32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</row>
    <row r="840" spans="2:13" x14ac:dyDescent="0.35">
      <c r="B840" s="32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</row>
    <row r="841" spans="2:13" x14ac:dyDescent="0.35">
      <c r="B841" s="32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</row>
    <row r="842" spans="2:13" x14ac:dyDescent="0.35">
      <c r="B842" s="32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</row>
    <row r="843" spans="2:13" x14ac:dyDescent="0.35">
      <c r="B843" s="32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</row>
    <row r="844" spans="2:13" x14ac:dyDescent="0.35">
      <c r="B844" s="32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</row>
    <row r="845" spans="2:13" x14ac:dyDescent="0.35">
      <c r="B845" s="32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</row>
    <row r="846" spans="2:13" x14ac:dyDescent="0.35">
      <c r="B846" s="32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</row>
    <row r="847" spans="2:13" x14ac:dyDescent="0.35">
      <c r="B847" s="32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</row>
    <row r="848" spans="2:13" x14ac:dyDescent="0.35">
      <c r="B848" s="32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</row>
    <row r="849" spans="2:13" x14ac:dyDescent="0.35">
      <c r="B849" s="32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</row>
    <row r="850" spans="2:13" x14ac:dyDescent="0.35">
      <c r="B850" s="32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</row>
    <row r="851" spans="2:13" x14ac:dyDescent="0.35">
      <c r="B851" s="32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</row>
    <row r="852" spans="2:13" x14ac:dyDescent="0.35">
      <c r="B852" s="32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</row>
    <row r="853" spans="2:13" x14ac:dyDescent="0.35">
      <c r="B853" s="32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</row>
    <row r="854" spans="2:13" x14ac:dyDescent="0.35">
      <c r="B854" s="32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</row>
    <row r="855" spans="2:13" x14ac:dyDescent="0.35">
      <c r="B855" s="32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</row>
    <row r="856" spans="2:13" x14ac:dyDescent="0.35">
      <c r="B856" s="32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</row>
    <row r="857" spans="2:13" x14ac:dyDescent="0.35">
      <c r="B857" s="32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</row>
    <row r="858" spans="2:13" x14ac:dyDescent="0.35">
      <c r="B858" s="32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</row>
    <row r="859" spans="2:13" x14ac:dyDescent="0.35">
      <c r="B859" s="32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</row>
    <row r="860" spans="2:13" x14ac:dyDescent="0.35">
      <c r="B860" s="32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</row>
    <row r="861" spans="2:13" x14ac:dyDescent="0.35">
      <c r="B861" s="32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</row>
    <row r="862" spans="2:13" x14ac:dyDescent="0.35">
      <c r="B862" s="32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</row>
    <row r="863" spans="2:13" x14ac:dyDescent="0.35">
      <c r="B863" s="32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</row>
    <row r="864" spans="2:13" x14ac:dyDescent="0.35">
      <c r="B864" s="32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</row>
    <row r="865" spans="2:13" x14ac:dyDescent="0.35">
      <c r="B865" s="32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</row>
    <row r="866" spans="2:13" x14ac:dyDescent="0.35">
      <c r="B866" s="32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</row>
    <row r="867" spans="2:13" x14ac:dyDescent="0.35">
      <c r="B867" s="32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</row>
    <row r="868" spans="2:13" x14ac:dyDescent="0.35">
      <c r="B868" s="32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</row>
    <row r="869" spans="2:13" x14ac:dyDescent="0.35">
      <c r="B869" s="32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</row>
    <row r="870" spans="2:13" x14ac:dyDescent="0.35">
      <c r="B870" s="32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</row>
    <row r="871" spans="2:13" x14ac:dyDescent="0.35">
      <c r="B871" s="32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</row>
    <row r="872" spans="2:13" x14ac:dyDescent="0.35">
      <c r="B872" s="32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</row>
    <row r="873" spans="2:13" x14ac:dyDescent="0.35">
      <c r="B873" s="32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</row>
    <row r="874" spans="2:13" x14ac:dyDescent="0.35">
      <c r="B874" s="32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</row>
    <row r="875" spans="2:13" x14ac:dyDescent="0.35">
      <c r="B875" s="32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</row>
    <row r="876" spans="2:13" x14ac:dyDescent="0.35">
      <c r="B876" s="32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</row>
    <row r="877" spans="2:13" x14ac:dyDescent="0.35">
      <c r="B877" s="32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</row>
    <row r="878" spans="2:13" x14ac:dyDescent="0.35">
      <c r="B878" s="32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</row>
    <row r="879" spans="2:13" x14ac:dyDescent="0.35">
      <c r="B879" s="32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</row>
    <row r="880" spans="2:13" x14ac:dyDescent="0.35">
      <c r="B880" s="32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</row>
    <row r="881" spans="2:13" x14ac:dyDescent="0.35">
      <c r="B881" s="32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</row>
    <row r="882" spans="2:13" x14ac:dyDescent="0.35">
      <c r="B882" s="32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</row>
    <row r="883" spans="2:13" x14ac:dyDescent="0.35">
      <c r="B883" s="32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</row>
    <row r="884" spans="2:13" x14ac:dyDescent="0.35">
      <c r="B884" s="32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</row>
    <row r="885" spans="2:13" x14ac:dyDescent="0.35">
      <c r="B885" s="32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</row>
    <row r="886" spans="2:13" x14ac:dyDescent="0.35">
      <c r="B886" s="32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</row>
    <row r="887" spans="2:13" x14ac:dyDescent="0.35">
      <c r="B887" s="32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</row>
    <row r="888" spans="2:13" x14ac:dyDescent="0.35">
      <c r="B888" s="32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</row>
    <row r="889" spans="2:13" x14ac:dyDescent="0.35">
      <c r="B889" s="32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</row>
    <row r="890" spans="2:13" x14ac:dyDescent="0.35">
      <c r="B890" s="32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</row>
    <row r="891" spans="2:13" x14ac:dyDescent="0.35">
      <c r="B891" s="32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</row>
    <row r="892" spans="2:13" x14ac:dyDescent="0.35">
      <c r="B892" s="32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</row>
    <row r="893" spans="2:13" x14ac:dyDescent="0.35">
      <c r="B893" s="32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</row>
    <row r="894" spans="2:13" x14ac:dyDescent="0.35">
      <c r="B894" s="32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</row>
    <row r="895" spans="2:13" x14ac:dyDescent="0.35">
      <c r="B895" s="32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</row>
    <row r="896" spans="2:13" x14ac:dyDescent="0.35">
      <c r="B896" s="32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</row>
    <row r="897" spans="2:13" x14ac:dyDescent="0.35">
      <c r="B897" s="32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</row>
    <row r="898" spans="2:13" x14ac:dyDescent="0.35">
      <c r="B898" s="32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</row>
    <row r="899" spans="2:13" x14ac:dyDescent="0.35">
      <c r="B899" s="32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</row>
    <row r="900" spans="2:13" x14ac:dyDescent="0.35">
      <c r="B900" s="32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</row>
    <row r="901" spans="2:13" x14ac:dyDescent="0.35">
      <c r="B901" s="32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</row>
    <row r="902" spans="2:13" x14ac:dyDescent="0.35">
      <c r="B902" s="32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</row>
    <row r="903" spans="2:13" x14ac:dyDescent="0.35">
      <c r="B903" s="32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</row>
    <row r="904" spans="2:13" x14ac:dyDescent="0.35">
      <c r="B904" s="32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</row>
    <row r="905" spans="2:13" x14ac:dyDescent="0.35">
      <c r="B905" s="32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</row>
    <row r="906" spans="2:13" x14ac:dyDescent="0.35">
      <c r="B906" s="32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</row>
    <row r="907" spans="2:13" x14ac:dyDescent="0.35">
      <c r="B907" s="32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</row>
    <row r="908" spans="2:13" x14ac:dyDescent="0.35">
      <c r="B908" s="32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</row>
    <row r="909" spans="2:13" x14ac:dyDescent="0.35">
      <c r="B909" s="32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</row>
    <row r="910" spans="2:13" x14ac:dyDescent="0.35">
      <c r="B910" s="32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</row>
    <row r="911" spans="2:13" x14ac:dyDescent="0.35">
      <c r="B911" s="32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</row>
    <row r="912" spans="2:13" x14ac:dyDescent="0.35">
      <c r="B912" s="32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</row>
    <row r="913" spans="2:13" x14ac:dyDescent="0.35">
      <c r="B913" s="32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</row>
    <row r="914" spans="2:13" x14ac:dyDescent="0.35">
      <c r="B914" s="32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</row>
    <row r="915" spans="2:13" x14ac:dyDescent="0.35">
      <c r="B915" s="32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</row>
    <row r="916" spans="2:13" x14ac:dyDescent="0.35">
      <c r="B916" s="32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</row>
    <row r="917" spans="2:13" x14ac:dyDescent="0.35">
      <c r="B917" s="32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</row>
    <row r="918" spans="2:13" x14ac:dyDescent="0.35">
      <c r="B918" s="32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</row>
    <row r="919" spans="2:13" x14ac:dyDescent="0.35">
      <c r="B919" s="32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</row>
    <row r="920" spans="2:13" x14ac:dyDescent="0.35">
      <c r="B920" s="32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</row>
    <row r="921" spans="2:13" x14ac:dyDescent="0.35">
      <c r="B921" s="32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</row>
    <row r="922" spans="2:13" x14ac:dyDescent="0.35">
      <c r="B922" s="32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</row>
    <row r="923" spans="2:13" x14ac:dyDescent="0.35">
      <c r="B923" s="32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</row>
    <row r="924" spans="2:13" x14ac:dyDescent="0.35">
      <c r="B924" s="32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</row>
    <row r="925" spans="2:13" x14ac:dyDescent="0.35">
      <c r="B925" s="32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</row>
    <row r="926" spans="2:13" x14ac:dyDescent="0.35">
      <c r="B926" s="32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</row>
    <row r="927" spans="2:13" x14ac:dyDescent="0.35">
      <c r="B927" s="32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</row>
    <row r="928" spans="2:13" x14ac:dyDescent="0.35">
      <c r="B928" s="32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</row>
    <row r="929" spans="2:13" x14ac:dyDescent="0.35">
      <c r="B929" s="32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</row>
    <row r="930" spans="2:13" x14ac:dyDescent="0.35">
      <c r="B930" s="32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</row>
    <row r="931" spans="2:13" x14ac:dyDescent="0.35">
      <c r="B931" s="32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</row>
    <row r="932" spans="2:13" x14ac:dyDescent="0.35">
      <c r="B932" s="32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</row>
    <row r="933" spans="2:13" x14ac:dyDescent="0.35">
      <c r="B933" s="32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</row>
    <row r="934" spans="2:13" x14ac:dyDescent="0.35">
      <c r="B934" s="32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</row>
    <row r="935" spans="2:13" x14ac:dyDescent="0.35">
      <c r="B935" s="32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</row>
    <row r="936" spans="2:13" x14ac:dyDescent="0.35">
      <c r="B936" s="32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</row>
    <row r="937" spans="2:13" x14ac:dyDescent="0.35">
      <c r="B937" s="32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</row>
    <row r="938" spans="2:13" x14ac:dyDescent="0.35">
      <c r="B938" s="32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</row>
    <row r="939" spans="2:13" x14ac:dyDescent="0.35">
      <c r="B939" s="32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</row>
    <row r="940" spans="2:13" x14ac:dyDescent="0.35">
      <c r="B940" s="32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</row>
    <row r="941" spans="2:13" x14ac:dyDescent="0.35">
      <c r="B941" s="32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</row>
    <row r="942" spans="2:13" x14ac:dyDescent="0.35">
      <c r="B942" s="32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</row>
    <row r="943" spans="2:13" x14ac:dyDescent="0.35">
      <c r="B943" s="32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</row>
    <row r="944" spans="2:13" x14ac:dyDescent="0.35">
      <c r="B944" s="32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</row>
    <row r="945" spans="2:13" x14ac:dyDescent="0.35">
      <c r="B945" s="32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</row>
    <row r="946" spans="2:13" x14ac:dyDescent="0.35">
      <c r="B946" s="32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</row>
    <row r="947" spans="2:13" x14ac:dyDescent="0.35">
      <c r="B947" s="32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</row>
    <row r="948" spans="2:13" x14ac:dyDescent="0.35">
      <c r="B948" s="32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</row>
    <row r="949" spans="2:13" x14ac:dyDescent="0.35">
      <c r="B949" s="32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</row>
    <row r="950" spans="2:13" x14ac:dyDescent="0.35">
      <c r="B950" s="32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</row>
    <row r="951" spans="2:13" x14ac:dyDescent="0.35">
      <c r="B951" s="32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</row>
    <row r="952" spans="2:13" x14ac:dyDescent="0.35">
      <c r="B952" s="32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</row>
    <row r="953" spans="2:13" x14ac:dyDescent="0.35">
      <c r="B953" s="32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</row>
    <row r="954" spans="2:13" x14ac:dyDescent="0.35">
      <c r="B954" s="32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</row>
    <row r="955" spans="2:13" x14ac:dyDescent="0.35">
      <c r="B955" s="32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</row>
    <row r="956" spans="2:13" x14ac:dyDescent="0.35">
      <c r="B956" s="32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</row>
    <row r="957" spans="2:13" x14ac:dyDescent="0.35">
      <c r="B957" s="32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</row>
    <row r="958" spans="2:13" x14ac:dyDescent="0.35">
      <c r="B958" s="32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</row>
    <row r="959" spans="2:13" x14ac:dyDescent="0.35">
      <c r="B959" s="32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</row>
    <row r="960" spans="2:13" x14ac:dyDescent="0.35">
      <c r="B960" s="32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</row>
    <row r="961" spans="2:13" x14ac:dyDescent="0.35">
      <c r="B961" s="32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</row>
    <row r="962" spans="2:13" x14ac:dyDescent="0.35">
      <c r="B962" s="32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</row>
    <row r="963" spans="2:13" x14ac:dyDescent="0.35">
      <c r="B963" s="32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</row>
    <row r="964" spans="2:13" x14ac:dyDescent="0.35">
      <c r="B964" s="32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</row>
    <row r="965" spans="2:13" x14ac:dyDescent="0.35">
      <c r="B965" s="32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</row>
    <row r="966" spans="2:13" x14ac:dyDescent="0.35">
      <c r="B966" s="32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</row>
    <row r="967" spans="2:13" x14ac:dyDescent="0.35">
      <c r="B967" s="32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</row>
    <row r="968" spans="2:13" x14ac:dyDescent="0.35">
      <c r="B968" s="32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</row>
    <row r="969" spans="2:13" x14ac:dyDescent="0.35">
      <c r="B969" s="32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</row>
    <row r="970" spans="2:13" x14ac:dyDescent="0.35">
      <c r="B970" s="32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</row>
    <row r="971" spans="2:13" x14ac:dyDescent="0.35">
      <c r="B971" s="32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</row>
    <row r="972" spans="2:13" x14ac:dyDescent="0.35">
      <c r="B972" s="32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</row>
    <row r="973" spans="2:13" x14ac:dyDescent="0.35">
      <c r="B973" s="32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</row>
    <row r="974" spans="2:13" x14ac:dyDescent="0.35">
      <c r="B974" s="32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</row>
    <row r="975" spans="2:13" x14ac:dyDescent="0.35">
      <c r="B975" s="32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</row>
    <row r="976" spans="2:13" x14ac:dyDescent="0.35">
      <c r="B976" s="32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</row>
    <row r="977" spans="2:13" x14ac:dyDescent="0.35">
      <c r="B977" s="32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</row>
    <row r="978" spans="2:13" x14ac:dyDescent="0.35">
      <c r="B978" s="32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</row>
    <row r="979" spans="2:13" x14ac:dyDescent="0.35">
      <c r="B979" s="32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</row>
    <row r="980" spans="2:13" x14ac:dyDescent="0.35">
      <c r="B980" s="32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</row>
    <row r="981" spans="2:13" x14ac:dyDescent="0.35">
      <c r="B981" s="32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</row>
    <row r="982" spans="2:13" x14ac:dyDescent="0.35">
      <c r="B982" s="32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</row>
    <row r="983" spans="2:13" x14ac:dyDescent="0.35">
      <c r="B983" s="32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</row>
    <row r="984" spans="2:13" x14ac:dyDescent="0.35">
      <c r="B984" s="32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</row>
    <row r="985" spans="2:13" x14ac:dyDescent="0.35">
      <c r="B985" s="32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</row>
    <row r="986" spans="2:13" x14ac:dyDescent="0.35">
      <c r="B986" s="32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</row>
    <row r="987" spans="2:13" x14ac:dyDescent="0.35">
      <c r="B987" s="32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</row>
    <row r="988" spans="2:13" x14ac:dyDescent="0.35">
      <c r="B988" s="32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</row>
    <row r="989" spans="2:13" x14ac:dyDescent="0.35">
      <c r="B989" s="32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</row>
    <row r="990" spans="2:13" x14ac:dyDescent="0.35">
      <c r="B990" s="32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</row>
    <row r="991" spans="2:13" x14ac:dyDescent="0.35">
      <c r="B991" s="32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</row>
    <row r="992" spans="2:13" x14ac:dyDescent="0.35">
      <c r="B992" s="32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</row>
    <row r="993" spans="2:13" x14ac:dyDescent="0.35">
      <c r="B993" s="32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</row>
    <row r="994" spans="2:13" x14ac:dyDescent="0.35">
      <c r="B994" s="32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</row>
    <row r="995" spans="2:13" x14ac:dyDescent="0.35">
      <c r="B995" s="32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</row>
    <row r="996" spans="2:13" x14ac:dyDescent="0.35">
      <c r="B996" s="32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</row>
    <row r="997" spans="2:13" x14ac:dyDescent="0.35">
      <c r="B997" s="32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</row>
    <row r="998" spans="2:13" x14ac:dyDescent="0.35">
      <c r="B998" s="32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</row>
    <row r="999" spans="2:13" x14ac:dyDescent="0.35">
      <c r="B999" s="32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</row>
    <row r="1000" spans="2:13" x14ac:dyDescent="0.35">
      <c r="B1000" s="32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</row>
    <row r="1001" spans="2:13" x14ac:dyDescent="0.35">
      <c r="B1001" s="32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</row>
    <row r="1002" spans="2:13" x14ac:dyDescent="0.35">
      <c r="B1002" s="32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</row>
    <row r="1003" spans="2:13" x14ac:dyDescent="0.35">
      <c r="B1003" s="32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</row>
    <row r="1004" spans="2:13" x14ac:dyDescent="0.35">
      <c r="B1004" s="32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</row>
    <row r="1005" spans="2:13" x14ac:dyDescent="0.35">
      <c r="B1005" s="32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</row>
    <row r="1006" spans="2:13" x14ac:dyDescent="0.35">
      <c r="B1006" s="32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</row>
    <row r="1007" spans="2:13" x14ac:dyDescent="0.35">
      <c r="B1007" s="32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</row>
    <row r="1008" spans="2:13" x14ac:dyDescent="0.35">
      <c r="B1008" s="32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</row>
    <row r="1009" spans="2:13" x14ac:dyDescent="0.35">
      <c r="B1009" s="32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</row>
    <row r="1010" spans="2:13" x14ac:dyDescent="0.35">
      <c r="B1010" s="32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</row>
    <row r="1011" spans="2:13" x14ac:dyDescent="0.35">
      <c r="B1011" s="32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</row>
    <row r="1012" spans="2:13" x14ac:dyDescent="0.35">
      <c r="B1012" s="32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</row>
    <row r="1013" spans="2:13" x14ac:dyDescent="0.35">
      <c r="B1013" s="32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</row>
    <row r="1014" spans="2:13" x14ac:dyDescent="0.35">
      <c r="B1014" s="32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</row>
    <row r="1015" spans="2:13" x14ac:dyDescent="0.35">
      <c r="B1015" s="32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</row>
    <row r="1016" spans="2:13" x14ac:dyDescent="0.35">
      <c r="B1016" s="32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</row>
    <row r="1017" spans="2:13" x14ac:dyDescent="0.35">
      <c r="B1017" s="32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</row>
    <row r="1018" spans="2:13" x14ac:dyDescent="0.35">
      <c r="B1018" s="32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</row>
    <row r="1019" spans="2:13" x14ac:dyDescent="0.35">
      <c r="B1019" s="32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</row>
    <row r="1020" spans="2:13" x14ac:dyDescent="0.35">
      <c r="B1020" s="32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</row>
    <row r="1021" spans="2:13" x14ac:dyDescent="0.35">
      <c r="B1021" s="32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</row>
    <row r="1022" spans="2:13" x14ac:dyDescent="0.35">
      <c r="B1022" s="32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</row>
    <row r="1023" spans="2:13" x14ac:dyDescent="0.35">
      <c r="B1023" s="32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</row>
    <row r="1024" spans="2:13" x14ac:dyDescent="0.35">
      <c r="B1024" s="32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</row>
    <row r="1025" spans="2:13" x14ac:dyDescent="0.35">
      <c r="B1025" s="32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</row>
    <row r="1026" spans="2:13" x14ac:dyDescent="0.35">
      <c r="B1026" s="32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</row>
    <row r="1027" spans="2:13" x14ac:dyDescent="0.35">
      <c r="B1027" s="32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</row>
    <row r="1028" spans="2:13" x14ac:dyDescent="0.35">
      <c r="B1028" s="32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</row>
    <row r="1029" spans="2:13" x14ac:dyDescent="0.35">
      <c r="B1029" s="32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</row>
    <row r="1030" spans="2:13" x14ac:dyDescent="0.35">
      <c r="B1030" s="32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</row>
    <row r="1031" spans="2:13" x14ac:dyDescent="0.35">
      <c r="B1031" s="32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</row>
    <row r="1032" spans="2:13" x14ac:dyDescent="0.35">
      <c r="B1032" s="32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</row>
    <row r="1033" spans="2:13" x14ac:dyDescent="0.35">
      <c r="B1033" s="32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</row>
    <row r="1034" spans="2:13" x14ac:dyDescent="0.35">
      <c r="B1034" s="32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</row>
    <row r="1035" spans="2:13" x14ac:dyDescent="0.35">
      <c r="B1035" s="32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</row>
    <row r="1036" spans="2:13" x14ac:dyDescent="0.35">
      <c r="B1036" s="32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</row>
    <row r="1037" spans="2:13" x14ac:dyDescent="0.35">
      <c r="B1037" s="32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</row>
    <row r="1038" spans="2:13" x14ac:dyDescent="0.35">
      <c r="B1038" s="32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</row>
    <row r="1039" spans="2:13" x14ac:dyDescent="0.35">
      <c r="B1039" s="32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</row>
    <row r="1040" spans="2:13" x14ac:dyDescent="0.35">
      <c r="B1040" s="32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</row>
    <row r="1041" spans="2:13" x14ac:dyDescent="0.35">
      <c r="B1041" s="32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</row>
    <row r="1042" spans="2:13" x14ac:dyDescent="0.35">
      <c r="B1042" s="32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</row>
    <row r="1043" spans="2:13" x14ac:dyDescent="0.35">
      <c r="B1043" s="32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</row>
    <row r="1044" spans="2:13" x14ac:dyDescent="0.35">
      <c r="B1044" s="32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</row>
    <row r="1045" spans="2:13" x14ac:dyDescent="0.35">
      <c r="B1045" s="32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</row>
    <row r="1046" spans="2:13" x14ac:dyDescent="0.35">
      <c r="B1046" s="32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</row>
    <row r="1047" spans="2:13" x14ac:dyDescent="0.35">
      <c r="B1047" s="32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</row>
    <row r="1048" spans="2:13" x14ac:dyDescent="0.35">
      <c r="B1048" s="32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</row>
    <row r="1049" spans="2:13" x14ac:dyDescent="0.35">
      <c r="B1049" s="32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</row>
    <row r="1050" spans="2:13" x14ac:dyDescent="0.35">
      <c r="B1050" s="32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</row>
    <row r="1051" spans="2:13" x14ac:dyDescent="0.35">
      <c r="B1051" s="32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</row>
    <row r="1052" spans="2:13" x14ac:dyDescent="0.35">
      <c r="B1052" s="32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</row>
    <row r="1053" spans="2:13" x14ac:dyDescent="0.35">
      <c r="B1053" s="32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</row>
    <row r="1054" spans="2:13" x14ac:dyDescent="0.35">
      <c r="B1054" s="32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</row>
    <row r="1055" spans="2:13" x14ac:dyDescent="0.35">
      <c r="B1055" s="32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</row>
    <row r="1056" spans="2:13" x14ac:dyDescent="0.35">
      <c r="B1056" s="32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</row>
    <row r="1057" spans="2:13" x14ac:dyDescent="0.35">
      <c r="B1057" s="32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</row>
    <row r="1058" spans="2:13" x14ac:dyDescent="0.35">
      <c r="B1058" s="32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</row>
    <row r="1059" spans="2:13" x14ac:dyDescent="0.35">
      <c r="B1059" s="32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</row>
    <row r="1060" spans="2:13" x14ac:dyDescent="0.35">
      <c r="B1060" s="32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</row>
    <row r="1061" spans="2:13" x14ac:dyDescent="0.35">
      <c r="B1061" s="32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</row>
    <row r="1062" spans="2:13" x14ac:dyDescent="0.35">
      <c r="B1062" s="32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</row>
    <row r="1063" spans="2:13" x14ac:dyDescent="0.35">
      <c r="B1063" s="32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</row>
    <row r="1064" spans="2:13" x14ac:dyDescent="0.35">
      <c r="B1064" s="32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</row>
    <row r="1065" spans="2:13" x14ac:dyDescent="0.35">
      <c r="B1065" s="32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</row>
    <row r="1066" spans="2:13" x14ac:dyDescent="0.35">
      <c r="B1066" s="32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</row>
    <row r="1067" spans="2:13" x14ac:dyDescent="0.35">
      <c r="B1067" s="32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</row>
    <row r="1068" spans="2:13" x14ac:dyDescent="0.35">
      <c r="B1068" s="32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</row>
    <row r="1069" spans="2:13" x14ac:dyDescent="0.35">
      <c r="B1069" s="32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</row>
    <row r="1070" spans="2:13" x14ac:dyDescent="0.35">
      <c r="B1070" s="32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</row>
    <row r="1071" spans="2:13" x14ac:dyDescent="0.35">
      <c r="B1071" s="32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</row>
    <row r="1072" spans="2:13" x14ac:dyDescent="0.35">
      <c r="B1072" s="32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</row>
    <row r="1073" spans="2:13" x14ac:dyDescent="0.35">
      <c r="B1073" s="32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</row>
    <row r="1074" spans="2:13" x14ac:dyDescent="0.35">
      <c r="B1074" s="32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</row>
    <row r="1075" spans="2:13" x14ac:dyDescent="0.35">
      <c r="B1075" s="32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</row>
    <row r="1076" spans="2:13" x14ac:dyDescent="0.35">
      <c r="B1076" s="32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</row>
    <row r="1077" spans="2:13" x14ac:dyDescent="0.35">
      <c r="B1077" s="32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</row>
    <row r="1078" spans="2:13" x14ac:dyDescent="0.35">
      <c r="B1078" s="32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</row>
    <row r="1079" spans="2:13" x14ac:dyDescent="0.35">
      <c r="B1079" s="32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</row>
    <row r="1080" spans="2:13" x14ac:dyDescent="0.35">
      <c r="B1080" s="32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</row>
    <row r="1081" spans="2:13" x14ac:dyDescent="0.35">
      <c r="B1081" s="32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</row>
    <row r="1082" spans="2:13" x14ac:dyDescent="0.35">
      <c r="B1082" s="32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</row>
    <row r="1083" spans="2:13" x14ac:dyDescent="0.35">
      <c r="B1083" s="32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</row>
    <row r="1084" spans="2:13" x14ac:dyDescent="0.35">
      <c r="B1084" s="32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</row>
    <row r="1085" spans="2:13" x14ac:dyDescent="0.35">
      <c r="B1085" s="32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</row>
    <row r="1086" spans="2:13" x14ac:dyDescent="0.35">
      <c r="B1086" s="32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</row>
    <row r="1087" spans="2:13" x14ac:dyDescent="0.35">
      <c r="B1087" s="32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</row>
    <row r="1088" spans="2:13" x14ac:dyDescent="0.35">
      <c r="B1088" s="32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</row>
    <row r="1089" spans="2:13" x14ac:dyDescent="0.35">
      <c r="B1089" s="32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</row>
    <row r="1090" spans="2:13" x14ac:dyDescent="0.35">
      <c r="B1090" s="32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</row>
    <row r="1091" spans="2:13" x14ac:dyDescent="0.35">
      <c r="B1091" s="32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</row>
    <row r="1092" spans="2:13" x14ac:dyDescent="0.35">
      <c r="B1092" s="32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</row>
    <row r="1093" spans="2:13" x14ac:dyDescent="0.35">
      <c r="B1093" s="32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</row>
    <row r="1094" spans="2:13" x14ac:dyDescent="0.35">
      <c r="B1094" s="32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</row>
    <row r="1095" spans="2:13" x14ac:dyDescent="0.35">
      <c r="B1095" s="32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</row>
    <row r="1096" spans="2:13" x14ac:dyDescent="0.35">
      <c r="B1096" s="32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</row>
    <row r="1097" spans="2:13" x14ac:dyDescent="0.35">
      <c r="B1097" s="32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</row>
    <row r="1098" spans="2:13" x14ac:dyDescent="0.35">
      <c r="B1098" s="32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</row>
    <row r="1099" spans="2:13" x14ac:dyDescent="0.35">
      <c r="B1099" s="32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</row>
    <row r="1100" spans="2:13" x14ac:dyDescent="0.35">
      <c r="B1100" s="32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</row>
    <row r="1101" spans="2:13" x14ac:dyDescent="0.35">
      <c r="B1101" s="32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</row>
    <row r="1102" spans="2:13" x14ac:dyDescent="0.35">
      <c r="B1102" s="32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</row>
    <row r="1103" spans="2:13" x14ac:dyDescent="0.35">
      <c r="B1103" s="32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</row>
    <row r="1104" spans="2:13" x14ac:dyDescent="0.35">
      <c r="B1104" s="32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</row>
    <row r="1105" spans="2:13" x14ac:dyDescent="0.35">
      <c r="B1105" s="32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</row>
    <row r="1106" spans="2:13" x14ac:dyDescent="0.35">
      <c r="B1106" s="32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</row>
    <row r="1107" spans="2:13" x14ac:dyDescent="0.35">
      <c r="B1107" s="32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</row>
    <row r="1108" spans="2:13" x14ac:dyDescent="0.35">
      <c r="B1108" s="32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</row>
    <row r="1109" spans="2:13" x14ac:dyDescent="0.35">
      <c r="B1109" s="32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</row>
    <row r="1110" spans="2:13" x14ac:dyDescent="0.35">
      <c r="B1110" s="32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</row>
    <row r="1111" spans="2:13" x14ac:dyDescent="0.35">
      <c r="B1111" s="32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</row>
    <row r="1112" spans="2:13" x14ac:dyDescent="0.35">
      <c r="B1112" s="32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</row>
    <row r="1113" spans="2:13" x14ac:dyDescent="0.35">
      <c r="B1113" s="32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</row>
    <row r="1114" spans="2:13" x14ac:dyDescent="0.35">
      <c r="B1114" s="32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</row>
    <row r="1115" spans="2:13" x14ac:dyDescent="0.35">
      <c r="B1115" s="32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</row>
    <row r="1116" spans="2:13" x14ac:dyDescent="0.35">
      <c r="B1116" s="32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</row>
    <row r="1117" spans="2:13" x14ac:dyDescent="0.35">
      <c r="B1117" s="32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</row>
    <row r="1118" spans="2:13" x14ac:dyDescent="0.35">
      <c r="B1118" s="32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</row>
    <row r="1119" spans="2:13" x14ac:dyDescent="0.35">
      <c r="B1119" s="32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</row>
    <row r="1120" spans="2:13" x14ac:dyDescent="0.35">
      <c r="B1120" s="32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</row>
    <row r="1121" spans="2:13" x14ac:dyDescent="0.35">
      <c r="B1121" s="32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</row>
    <row r="1122" spans="2:13" x14ac:dyDescent="0.35">
      <c r="B1122" s="32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</row>
    <row r="1123" spans="2:13" x14ac:dyDescent="0.35">
      <c r="B1123" s="32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</row>
    <row r="1124" spans="2:13" x14ac:dyDescent="0.35">
      <c r="B1124" s="32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</row>
    <row r="1125" spans="2:13" x14ac:dyDescent="0.35">
      <c r="B1125" s="32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</row>
    <row r="1126" spans="2:13" x14ac:dyDescent="0.35">
      <c r="B1126" s="32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</row>
    <row r="1127" spans="2:13" x14ac:dyDescent="0.35">
      <c r="B1127" s="32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</row>
    <row r="1128" spans="2:13" x14ac:dyDescent="0.35">
      <c r="B1128" s="32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</row>
    <row r="1129" spans="2:13" x14ac:dyDescent="0.35">
      <c r="B1129" s="32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</row>
    <row r="1130" spans="2:13" x14ac:dyDescent="0.35">
      <c r="B1130" s="32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</row>
    <row r="1131" spans="2:13" x14ac:dyDescent="0.35">
      <c r="B1131" s="32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</row>
    <row r="1132" spans="2:13" x14ac:dyDescent="0.35">
      <c r="B1132" s="32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</row>
    <row r="1133" spans="2:13" x14ac:dyDescent="0.35">
      <c r="B1133" s="32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</row>
    <row r="1134" spans="2:13" x14ac:dyDescent="0.35">
      <c r="B1134" s="32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</row>
    <row r="1135" spans="2:13" x14ac:dyDescent="0.35">
      <c r="B1135" s="32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</row>
    <row r="1136" spans="2:13" x14ac:dyDescent="0.35">
      <c r="B1136" s="32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</row>
    <row r="1137" spans="2:13" x14ac:dyDescent="0.35">
      <c r="B1137" s="32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</row>
    <row r="1138" spans="2:13" x14ac:dyDescent="0.35">
      <c r="B1138" s="32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</row>
    <row r="1139" spans="2:13" x14ac:dyDescent="0.35">
      <c r="B1139" s="32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</row>
    <row r="1140" spans="2:13" x14ac:dyDescent="0.35">
      <c r="B1140" s="32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</row>
    <row r="1141" spans="2:13" x14ac:dyDescent="0.35">
      <c r="B1141" s="32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</row>
    <row r="1142" spans="2:13" x14ac:dyDescent="0.35">
      <c r="B1142" s="32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</row>
    <row r="1143" spans="2:13" x14ac:dyDescent="0.35">
      <c r="B1143" s="32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</row>
    <row r="1144" spans="2:13" x14ac:dyDescent="0.35">
      <c r="B1144" s="32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</row>
    <row r="1145" spans="2:13" x14ac:dyDescent="0.35">
      <c r="B1145" s="32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</row>
    <row r="1146" spans="2:13" x14ac:dyDescent="0.35">
      <c r="B1146" s="32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</row>
    <row r="1147" spans="2:13" x14ac:dyDescent="0.35">
      <c r="B1147" s="32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</row>
    <row r="1148" spans="2:13" x14ac:dyDescent="0.35">
      <c r="B1148" s="32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</row>
    <row r="1149" spans="2:13" x14ac:dyDescent="0.35">
      <c r="B1149" s="32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</row>
    <row r="1150" spans="2:13" x14ac:dyDescent="0.35">
      <c r="B1150" s="32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</row>
    <row r="1151" spans="2:13" x14ac:dyDescent="0.35">
      <c r="B1151" s="32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</row>
    <row r="1152" spans="2:13" x14ac:dyDescent="0.35">
      <c r="B1152" s="32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</row>
    <row r="1153" spans="2:13" x14ac:dyDescent="0.35">
      <c r="B1153" s="32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</row>
    <row r="1154" spans="2:13" x14ac:dyDescent="0.35">
      <c r="B1154" s="32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</row>
    <row r="1155" spans="2:13" x14ac:dyDescent="0.35">
      <c r="B1155" s="32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</row>
    <row r="1156" spans="2:13" x14ac:dyDescent="0.35">
      <c r="B1156" s="32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</row>
    <row r="1157" spans="2:13" x14ac:dyDescent="0.35">
      <c r="B1157" s="32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</row>
    <row r="1158" spans="2:13" x14ac:dyDescent="0.35">
      <c r="B1158" s="32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</row>
    <row r="1159" spans="2:13" x14ac:dyDescent="0.35">
      <c r="B1159" s="32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</row>
    <row r="1160" spans="2:13" x14ac:dyDescent="0.35">
      <c r="B1160" s="32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</row>
    <row r="1161" spans="2:13" x14ac:dyDescent="0.35">
      <c r="B1161" s="32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</row>
    <row r="1162" spans="2:13" x14ac:dyDescent="0.35">
      <c r="B1162" s="32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</row>
    <row r="1163" spans="2:13" x14ac:dyDescent="0.35">
      <c r="B1163" s="32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</row>
    <row r="1164" spans="2:13" x14ac:dyDescent="0.35">
      <c r="B1164" s="32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</row>
    <row r="1165" spans="2:13" x14ac:dyDescent="0.35">
      <c r="B1165" s="32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</row>
    <row r="1166" spans="2:13" x14ac:dyDescent="0.35">
      <c r="B1166" s="32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</row>
    <row r="1167" spans="2:13" x14ac:dyDescent="0.35">
      <c r="B1167" s="32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</row>
    <row r="1168" spans="2:13" x14ac:dyDescent="0.35">
      <c r="B1168" s="32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</row>
    <row r="1169" spans="2:13" x14ac:dyDescent="0.35">
      <c r="B1169" s="32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</row>
    <row r="1170" spans="2:13" x14ac:dyDescent="0.35">
      <c r="B1170" s="32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</row>
    <row r="1171" spans="2:13" x14ac:dyDescent="0.35">
      <c r="B1171" s="32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</row>
    <row r="1172" spans="2:13" x14ac:dyDescent="0.35">
      <c r="B1172" s="32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</row>
    <row r="1173" spans="2:13" x14ac:dyDescent="0.35">
      <c r="B1173" s="32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</row>
    <row r="1174" spans="2:13" x14ac:dyDescent="0.35">
      <c r="B1174" s="32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</row>
    <row r="1175" spans="2:13" x14ac:dyDescent="0.35">
      <c r="B1175" s="32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</row>
    <row r="1176" spans="2:13" x14ac:dyDescent="0.35">
      <c r="B1176" s="32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</row>
    <row r="1177" spans="2:13" x14ac:dyDescent="0.35">
      <c r="B1177" s="32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</row>
    <row r="1178" spans="2:13" x14ac:dyDescent="0.35">
      <c r="B1178" s="32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</row>
    <row r="1179" spans="2:13" x14ac:dyDescent="0.35">
      <c r="B1179" s="32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</row>
    <row r="1180" spans="2:13" x14ac:dyDescent="0.35">
      <c r="B1180" s="32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</row>
    <row r="1181" spans="2:13" x14ac:dyDescent="0.35">
      <c r="B1181" s="32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</row>
    <row r="1182" spans="2:13" x14ac:dyDescent="0.35">
      <c r="B1182" s="32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</row>
    <row r="1183" spans="2:13" x14ac:dyDescent="0.35">
      <c r="B1183" s="32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</row>
    <row r="1184" spans="2:13" x14ac:dyDescent="0.35">
      <c r="B1184" s="32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</row>
    <row r="1185" spans="2:13" x14ac:dyDescent="0.35">
      <c r="B1185" s="32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</row>
    <row r="1186" spans="2:13" x14ac:dyDescent="0.35">
      <c r="B1186" s="32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</row>
    <row r="1187" spans="2:13" x14ac:dyDescent="0.35">
      <c r="B1187" s="32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</row>
    <row r="1188" spans="2:13" x14ac:dyDescent="0.35">
      <c r="B1188" s="32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</row>
    <row r="1189" spans="2:13" x14ac:dyDescent="0.35">
      <c r="B1189" s="32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</row>
    <row r="1190" spans="2:13" x14ac:dyDescent="0.35">
      <c r="B1190" s="32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</row>
    <row r="1191" spans="2:13" x14ac:dyDescent="0.35">
      <c r="B1191" s="32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</row>
    <row r="1192" spans="2:13" x14ac:dyDescent="0.35">
      <c r="B1192" s="32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</row>
    <row r="1193" spans="2:13" x14ac:dyDescent="0.35">
      <c r="B1193" s="32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</row>
    <row r="1194" spans="2:13" x14ac:dyDescent="0.35">
      <c r="B1194" s="32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</row>
    <row r="1195" spans="2:13" x14ac:dyDescent="0.35">
      <c r="B1195" s="32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</row>
    <row r="1196" spans="2:13" x14ac:dyDescent="0.35">
      <c r="B1196" s="32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</row>
    <row r="1197" spans="2:13" x14ac:dyDescent="0.35">
      <c r="B1197" s="32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</row>
    <row r="1198" spans="2:13" x14ac:dyDescent="0.35">
      <c r="B1198" s="32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</row>
    <row r="1199" spans="2:13" x14ac:dyDescent="0.35">
      <c r="B1199" s="32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</row>
    <row r="1200" spans="2:13" x14ac:dyDescent="0.35">
      <c r="B1200" s="32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</row>
    <row r="1201" spans="2:13" x14ac:dyDescent="0.35">
      <c r="B1201" s="32"/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</row>
    <row r="1202" spans="2:13" x14ac:dyDescent="0.35">
      <c r="B1202" s="32"/>
      <c r="C1202" s="35"/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</row>
    <row r="1203" spans="2:13" x14ac:dyDescent="0.35">
      <c r="B1203" s="32"/>
      <c r="C1203" s="35"/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</row>
    <row r="1204" spans="2:13" x14ac:dyDescent="0.35">
      <c r="B1204" s="32"/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</row>
    <row r="1205" spans="2:13" x14ac:dyDescent="0.35">
      <c r="B1205" s="32"/>
      <c r="C1205" s="35"/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</row>
    <row r="1206" spans="2:13" x14ac:dyDescent="0.35">
      <c r="B1206" s="32"/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</row>
    <row r="1207" spans="2:13" x14ac:dyDescent="0.35">
      <c r="B1207" s="32"/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</row>
    <row r="1208" spans="2:13" x14ac:dyDescent="0.35">
      <c r="B1208" s="32"/>
      <c r="C1208" s="35"/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</row>
    <row r="1209" spans="2:13" x14ac:dyDescent="0.35">
      <c r="B1209" s="32"/>
      <c r="C1209" s="35"/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</row>
    <row r="1210" spans="2:13" x14ac:dyDescent="0.35">
      <c r="B1210" s="32"/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</row>
    <row r="1211" spans="2:13" x14ac:dyDescent="0.35">
      <c r="B1211" s="32"/>
      <c r="C1211" s="35"/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</row>
    <row r="1212" spans="2:13" x14ac:dyDescent="0.35">
      <c r="B1212" s="32"/>
      <c r="C1212" s="35"/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</row>
    <row r="1213" spans="2:13" x14ac:dyDescent="0.35">
      <c r="B1213" s="32"/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</row>
    <row r="1214" spans="2:13" x14ac:dyDescent="0.35">
      <c r="B1214" s="32"/>
      <c r="C1214" s="35"/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</row>
    <row r="1215" spans="2:13" x14ac:dyDescent="0.35">
      <c r="B1215" s="32"/>
      <c r="C1215" s="35"/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</row>
    <row r="1216" spans="2:13" x14ac:dyDescent="0.35">
      <c r="B1216" s="32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</row>
    <row r="1217" spans="2:13" x14ac:dyDescent="0.35">
      <c r="B1217" s="32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</row>
    <row r="1218" spans="2:13" x14ac:dyDescent="0.35">
      <c r="B1218" s="32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</row>
    <row r="1219" spans="2:13" x14ac:dyDescent="0.35">
      <c r="B1219" s="32"/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</row>
    <row r="1220" spans="2:13" x14ac:dyDescent="0.35">
      <c r="B1220" s="32"/>
      <c r="C1220" s="35"/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</row>
    <row r="1221" spans="2:13" x14ac:dyDescent="0.35">
      <c r="B1221" s="32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</row>
    <row r="1222" spans="2:13" x14ac:dyDescent="0.35">
      <c r="B1222" s="32"/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</row>
    <row r="1223" spans="2:13" x14ac:dyDescent="0.35">
      <c r="B1223" s="32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</row>
    <row r="1224" spans="2:13" x14ac:dyDescent="0.35">
      <c r="B1224" s="32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</row>
    <row r="1225" spans="2:13" x14ac:dyDescent="0.35">
      <c r="B1225" s="32"/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</row>
    <row r="1226" spans="2:13" x14ac:dyDescent="0.35">
      <c r="B1226" s="32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</row>
    <row r="1227" spans="2:13" x14ac:dyDescent="0.35">
      <c r="B1227" s="32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</row>
    <row r="1228" spans="2:13" x14ac:dyDescent="0.35">
      <c r="B1228" s="32"/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</row>
    <row r="1229" spans="2:13" x14ac:dyDescent="0.35">
      <c r="B1229" s="32"/>
      <c r="C1229" s="35"/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</row>
    <row r="1230" spans="2:13" x14ac:dyDescent="0.35">
      <c r="B1230" s="32"/>
      <c r="C1230" s="35"/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</row>
    <row r="1231" spans="2:13" x14ac:dyDescent="0.35">
      <c r="B1231" s="32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</row>
    <row r="1232" spans="2:13" x14ac:dyDescent="0.35">
      <c r="B1232" s="32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</row>
    <row r="1233" spans="2:13" x14ac:dyDescent="0.35">
      <c r="B1233" s="32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</row>
    <row r="1234" spans="2:13" x14ac:dyDescent="0.35">
      <c r="B1234" s="32"/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</row>
    <row r="1235" spans="2:13" x14ac:dyDescent="0.35">
      <c r="B1235" s="32"/>
      <c r="C1235" s="35"/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</row>
    <row r="1236" spans="2:13" x14ac:dyDescent="0.35">
      <c r="B1236" s="32"/>
      <c r="C1236" s="35"/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</row>
    <row r="1237" spans="2:13" x14ac:dyDescent="0.35">
      <c r="B1237" s="32"/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</row>
    <row r="1238" spans="2:13" x14ac:dyDescent="0.35">
      <c r="B1238" s="32"/>
      <c r="C1238" s="35"/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</row>
    <row r="1239" spans="2:13" x14ac:dyDescent="0.35">
      <c r="B1239" s="32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</row>
    <row r="1240" spans="2:13" x14ac:dyDescent="0.35">
      <c r="B1240" s="32"/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</row>
    <row r="1241" spans="2:13" x14ac:dyDescent="0.35">
      <c r="B1241" s="32"/>
      <c r="C1241" s="35"/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</row>
    <row r="1242" spans="2:13" x14ac:dyDescent="0.35">
      <c r="B1242" s="32"/>
      <c r="C1242" s="35"/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</row>
    <row r="1243" spans="2:13" x14ac:dyDescent="0.35">
      <c r="B1243" s="32"/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</row>
    <row r="1244" spans="2:13" x14ac:dyDescent="0.35">
      <c r="B1244" s="32"/>
      <c r="C1244" s="35"/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</row>
    <row r="1245" spans="2:13" x14ac:dyDescent="0.35">
      <c r="B1245" s="32"/>
      <c r="C1245" s="35"/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</row>
    <row r="1246" spans="2:13" x14ac:dyDescent="0.35">
      <c r="B1246" s="32"/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</row>
    <row r="1247" spans="2:13" x14ac:dyDescent="0.35">
      <c r="B1247" s="32"/>
      <c r="C1247" s="35"/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</row>
    <row r="1248" spans="2:13" x14ac:dyDescent="0.35">
      <c r="B1248" s="32"/>
      <c r="C1248" s="35"/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</row>
    <row r="1249" spans="2:13" x14ac:dyDescent="0.35">
      <c r="B1249" s="32"/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</row>
    <row r="1250" spans="2:13" x14ac:dyDescent="0.35">
      <c r="B1250" s="32"/>
      <c r="C1250" s="35"/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</row>
    <row r="1251" spans="2:13" x14ac:dyDescent="0.35">
      <c r="B1251" s="32"/>
      <c r="C1251" s="35"/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</row>
    <row r="1252" spans="2:13" x14ac:dyDescent="0.35">
      <c r="B1252" s="32"/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</row>
    <row r="1253" spans="2:13" x14ac:dyDescent="0.35">
      <c r="B1253" s="32"/>
      <c r="C1253" s="35"/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</row>
    <row r="1254" spans="2:13" x14ac:dyDescent="0.35">
      <c r="B1254" s="32"/>
      <c r="C1254" s="35"/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</row>
    <row r="1255" spans="2:13" x14ac:dyDescent="0.35">
      <c r="B1255" s="32"/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</row>
    <row r="1256" spans="2:13" x14ac:dyDescent="0.35">
      <c r="B1256" s="32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</row>
    <row r="1257" spans="2:13" x14ac:dyDescent="0.35">
      <c r="B1257" s="32"/>
      <c r="C1257" s="35"/>
      <c r="D1257" s="35"/>
      <c r="E1257" s="35"/>
      <c r="F1257" s="35"/>
      <c r="G1257" s="35"/>
      <c r="H1257" s="35"/>
      <c r="I1257" s="35"/>
      <c r="J1257" s="35"/>
      <c r="K1257" s="35"/>
      <c r="L1257" s="35"/>
      <c r="M1257" s="35"/>
    </row>
    <row r="1258" spans="2:13" x14ac:dyDescent="0.35">
      <c r="B1258" s="32"/>
      <c r="C1258" s="35"/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</row>
    <row r="1259" spans="2:13" x14ac:dyDescent="0.35">
      <c r="B1259" s="32"/>
      <c r="C1259" s="35"/>
      <c r="D1259" s="35"/>
      <c r="E1259" s="35"/>
      <c r="F1259" s="35"/>
      <c r="G1259" s="35"/>
      <c r="H1259" s="35"/>
      <c r="I1259" s="35"/>
      <c r="J1259" s="35"/>
      <c r="K1259" s="35"/>
      <c r="L1259" s="35"/>
      <c r="M1259" s="35"/>
    </row>
    <row r="1260" spans="2:13" x14ac:dyDescent="0.35">
      <c r="B1260" s="32"/>
      <c r="C1260" s="35"/>
      <c r="D1260" s="35"/>
      <c r="E1260" s="35"/>
      <c r="F1260" s="35"/>
      <c r="G1260" s="35"/>
      <c r="H1260" s="35"/>
      <c r="I1260" s="35"/>
      <c r="J1260" s="35"/>
      <c r="K1260" s="35"/>
      <c r="L1260" s="35"/>
      <c r="M1260" s="35"/>
    </row>
    <row r="1261" spans="2:13" x14ac:dyDescent="0.35">
      <c r="B1261" s="32"/>
      <c r="C1261" s="35"/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</row>
    <row r="1262" spans="2:13" x14ac:dyDescent="0.35">
      <c r="B1262" s="32"/>
      <c r="C1262" s="35"/>
      <c r="D1262" s="35"/>
      <c r="E1262" s="35"/>
      <c r="F1262" s="35"/>
      <c r="G1262" s="35"/>
      <c r="H1262" s="35"/>
      <c r="I1262" s="35"/>
      <c r="J1262" s="35"/>
      <c r="K1262" s="35"/>
      <c r="L1262" s="35"/>
      <c r="M1262" s="35"/>
    </row>
    <row r="1263" spans="2:13" x14ac:dyDescent="0.35">
      <c r="B1263" s="32"/>
      <c r="C1263" s="35"/>
      <c r="D1263" s="35"/>
      <c r="E1263" s="35"/>
      <c r="F1263" s="35"/>
      <c r="G1263" s="35"/>
      <c r="H1263" s="35"/>
      <c r="I1263" s="35"/>
      <c r="J1263" s="35"/>
      <c r="K1263" s="35"/>
      <c r="L1263" s="35"/>
      <c r="M1263" s="35"/>
    </row>
    <row r="1264" spans="2:13" x14ac:dyDescent="0.35">
      <c r="B1264" s="32"/>
      <c r="C1264" s="35"/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</row>
    <row r="1265" spans="2:13" x14ac:dyDescent="0.35">
      <c r="B1265" s="32"/>
      <c r="C1265" s="35"/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</row>
    <row r="1266" spans="2:13" x14ac:dyDescent="0.35">
      <c r="B1266" s="32"/>
      <c r="C1266" s="35"/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</row>
    <row r="1267" spans="2:13" x14ac:dyDescent="0.35">
      <c r="B1267" s="32"/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</row>
    <row r="1268" spans="2:13" x14ac:dyDescent="0.35">
      <c r="B1268" s="32"/>
      <c r="C1268" s="35"/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</row>
    <row r="1269" spans="2:13" x14ac:dyDescent="0.35">
      <c r="B1269" s="32"/>
      <c r="C1269" s="35"/>
      <c r="D1269" s="35"/>
      <c r="E1269" s="35"/>
      <c r="F1269" s="35"/>
      <c r="G1269" s="35"/>
      <c r="H1269" s="35"/>
      <c r="I1269" s="35"/>
      <c r="J1269" s="35"/>
      <c r="K1269" s="35"/>
      <c r="L1269" s="35"/>
      <c r="M1269" s="35"/>
    </row>
    <row r="1270" spans="2:13" x14ac:dyDescent="0.35">
      <c r="B1270" s="32"/>
      <c r="C1270" s="35"/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</row>
    <row r="1271" spans="2:13" x14ac:dyDescent="0.35">
      <c r="B1271" s="32"/>
      <c r="C1271" s="35"/>
      <c r="D1271" s="35"/>
      <c r="E1271" s="35"/>
      <c r="F1271" s="35"/>
      <c r="G1271" s="35"/>
      <c r="H1271" s="35"/>
      <c r="I1271" s="35"/>
      <c r="J1271" s="35"/>
      <c r="K1271" s="35"/>
      <c r="L1271" s="35"/>
      <c r="M1271" s="35"/>
    </row>
    <row r="1272" spans="2:13" x14ac:dyDescent="0.35">
      <c r="B1272" s="32"/>
      <c r="C1272" s="35"/>
      <c r="D1272" s="35"/>
      <c r="E1272" s="35"/>
      <c r="F1272" s="35"/>
      <c r="G1272" s="35"/>
      <c r="H1272" s="35"/>
      <c r="I1272" s="35"/>
      <c r="J1272" s="35"/>
      <c r="K1272" s="35"/>
      <c r="L1272" s="35"/>
      <c r="M1272" s="35"/>
    </row>
    <row r="1273" spans="2:13" x14ac:dyDescent="0.35">
      <c r="B1273" s="32"/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</row>
    <row r="1274" spans="2:13" x14ac:dyDescent="0.35">
      <c r="B1274" s="32"/>
      <c r="C1274" s="35"/>
      <c r="D1274" s="35"/>
      <c r="E1274" s="35"/>
      <c r="F1274" s="35"/>
      <c r="G1274" s="35"/>
      <c r="H1274" s="35"/>
      <c r="I1274" s="35"/>
      <c r="J1274" s="35"/>
      <c r="K1274" s="35"/>
      <c r="L1274" s="35"/>
      <c r="M1274" s="35"/>
    </row>
    <row r="1275" spans="2:13" x14ac:dyDescent="0.35">
      <c r="B1275" s="32"/>
      <c r="C1275" s="35"/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</row>
    <row r="1276" spans="2:13" x14ac:dyDescent="0.35">
      <c r="B1276" s="32"/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</row>
    <row r="1277" spans="2:13" x14ac:dyDescent="0.35">
      <c r="B1277" s="32"/>
      <c r="C1277" s="35"/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</row>
    <row r="1278" spans="2:13" x14ac:dyDescent="0.35">
      <c r="B1278" s="32"/>
      <c r="C1278" s="35"/>
      <c r="D1278" s="35"/>
      <c r="E1278" s="35"/>
      <c r="F1278" s="35"/>
      <c r="G1278" s="35"/>
      <c r="H1278" s="35"/>
      <c r="I1278" s="35"/>
      <c r="J1278" s="35"/>
      <c r="K1278" s="35"/>
      <c r="L1278" s="35"/>
      <c r="M1278" s="35"/>
    </row>
    <row r="1279" spans="2:13" x14ac:dyDescent="0.35">
      <c r="B1279" s="32"/>
      <c r="C1279" s="35"/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</row>
    <row r="1280" spans="2:13" x14ac:dyDescent="0.35">
      <c r="B1280" s="32"/>
      <c r="C1280" s="35"/>
      <c r="D1280" s="35"/>
      <c r="E1280" s="35"/>
      <c r="F1280" s="35"/>
      <c r="G1280" s="35"/>
      <c r="H1280" s="35"/>
      <c r="I1280" s="35"/>
      <c r="J1280" s="35"/>
      <c r="K1280" s="35"/>
      <c r="L1280" s="35"/>
      <c r="M1280" s="35"/>
    </row>
    <row r="1281" spans="2:13" x14ac:dyDescent="0.35">
      <c r="B1281" s="32"/>
      <c r="C1281" s="35"/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</row>
    <row r="1282" spans="2:13" x14ac:dyDescent="0.35">
      <c r="B1282" s="32"/>
      <c r="C1282" s="35"/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</row>
    <row r="1283" spans="2:13" x14ac:dyDescent="0.35">
      <c r="B1283" s="32"/>
      <c r="C1283" s="35"/>
      <c r="D1283" s="35"/>
      <c r="E1283" s="35"/>
      <c r="F1283" s="35"/>
      <c r="G1283" s="35"/>
      <c r="H1283" s="35"/>
      <c r="I1283" s="35"/>
      <c r="J1283" s="35"/>
      <c r="K1283" s="35"/>
      <c r="L1283" s="35"/>
      <c r="M1283" s="35"/>
    </row>
    <row r="1284" spans="2:13" x14ac:dyDescent="0.35">
      <c r="B1284" s="32"/>
      <c r="C1284" s="35"/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</row>
    <row r="1285" spans="2:13" x14ac:dyDescent="0.35">
      <c r="B1285" s="32"/>
      <c r="C1285" s="35"/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</row>
    <row r="1286" spans="2:13" x14ac:dyDescent="0.35">
      <c r="B1286" s="32"/>
      <c r="C1286" s="35"/>
      <c r="D1286" s="35"/>
      <c r="E1286" s="35"/>
      <c r="F1286" s="35"/>
      <c r="G1286" s="35"/>
      <c r="H1286" s="35"/>
      <c r="I1286" s="35"/>
      <c r="J1286" s="35"/>
      <c r="K1286" s="35"/>
      <c r="L1286" s="35"/>
      <c r="M1286" s="35"/>
    </row>
    <row r="1287" spans="2:13" x14ac:dyDescent="0.35">
      <c r="B1287" s="32"/>
      <c r="C1287" s="35"/>
      <c r="D1287" s="35"/>
      <c r="E1287" s="35"/>
      <c r="F1287" s="35"/>
      <c r="G1287" s="35"/>
      <c r="H1287" s="35"/>
      <c r="I1287" s="35"/>
      <c r="J1287" s="35"/>
      <c r="K1287" s="35"/>
      <c r="L1287" s="35"/>
      <c r="M1287" s="35"/>
    </row>
    <row r="1288" spans="2:13" x14ac:dyDescent="0.35">
      <c r="B1288" s="32"/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</row>
    <row r="1289" spans="2:13" x14ac:dyDescent="0.35">
      <c r="B1289" s="32"/>
      <c r="C1289" s="35"/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</row>
    <row r="1290" spans="2:13" x14ac:dyDescent="0.35">
      <c r="B1290" s="32"/>
      <c r="C1290" s="35"/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</row>
    <row r="1291" spans="2:13" x14ac:dyDescent="0.35">
      <c r="B1291" s="32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</row>
    <row r="1292" spans="2:13" x14ac:dyDescent="0.35">
      <c r="B1292" s="32"/>
      <c r="C1292" s="35"/>
      <c r="D1292" s="35"/>
      <c r="E1292" s="35"/>
      <c r="F1292" s="35"/>
      <c r="G1292" s="35"/>
      <c r="H1292" s="35"/>
      <c r="I1292" s="35"/>
      <c r="J1292" s="35"/>
      <c r="K1292" s="35"/>
      <c r="L1292" s="35"/>
      <c r="M1292" s="35"/>
    </row>
    <row r="1293" spans="2:13" x14ac:dyDescent="0.35">
      <c r="B1293" s="32"/>
      <c r="C1293" s="35"/>
      <c r="D1293" s="35"/>
      <c r="E1293" s="35"/>
      <c r="F1293" s="35"/>
      <c r="G1293" s="35"/>
      <c r="H1293" s="35"/>
      <c r="I1293" s="35"/>
      <c r="J1293" s="35"/>
      <c r="K1293" s="35"/>
      <c r="L1293" s="35"/>
      <c r="M1293" s="35"/>
    </row>
    <row r="1294" spans="2:13" x14ac:dyDescent="0.35">
      <c r="B1294" s="32"/>
      <c r="C1294" s="35"/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</row>
    <row r="1295" spans="2:13" x14ac:dyDescent="0.35">
      <c r="B1295" s="32"/>
      <c r="C1295" s="35"/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</row>
    <row r="1296" spans="2:13" x14ac:dyDescent="0.35">
      <c r="B1296" s="32"/>
      <c r="C1296" s="35"/>
      <c r="D1296" s="35"/>
      <c r="E1296" s="35"/>
      <c r="F1296" s="35"/>
      <c r="G1296" s="35"/>
      <c r="H1296" s="35"/>
      <c r="I1296" s="35"/>
      <c r="J1296" s="35"/>
      <c r="K1296" s="35"/>
      <c r="L1296" s="35"/>
      <c r="M1296" s="35"/>
    </row>
    <row r="1297" spans="2:13" x14ac:dyDescent="0.35">
      <c r="B1297" s="32"/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</row>
    <row r="1298" spans="2:13" x14ac:dyDescent="0.35">
      <c r="B1298" s="32"/>
      <c r="C1298" s="35"/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</row>
    <row r="1299" spans="2:13" x14ac:dyDescent="0.35">
      <c r="B1299" s="32"/>
      <c r="C1299" s="35"/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</row>
    <row r="1300" spans="2:13" x14ac:dyDescent="0.35">
      <c r="B1300" s="32"/>
      <c r="C1300" s="35"/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</row>
    <row r="1301" spans="2:13" x14ac:dyDescent="0.35">
      <c r="B1301" s="32"/>
      <c r="C1301" s="35"/>
      <c r="D1301" s="35"/>
      <c r="E1301" s="35"/>
      <c r="F1301" s="35"/>
      <c r="G1301" s="35"/>
      <c r="H1301" s="35"/>
      <c r="I1301" s="35"/>
      <c r="J1301" s="35"/>
      <c r="K1301" s="35"/>
      <c r="L1301" s="35"/>
      <c r="M1301" s="35"/>
    </row>
    <row r="1302" spans="2:13" x14ac:dyDescent="0.35">
      <c r="B1302" s="32"/>
      <c r="C1302" s="35"/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</row>
    <row r="1303" spans="2:13" x14ac:dyDescent="0.35">
      <c r="B1303" s="32"/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</row>
    <row r="1304" spans="2:13" x14ac:dyDescent="0.35">
      <c r="B1304" s="32"/>
      <c r="C1304" s="35"/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</row>
    <row r="1305" spans="2:13" x14ac:dyDescent="0.35">
      <c r="B1305" s="32"/>
      <c r="C1305" s="35"/>
      <c r="D1305" s="35"/>
      <c r="E1305" s="35"/>
      <c r="F1305" s="35"/>
      <c r="G1305" s="35"/>
      <c r="H1305" s="35"/>
      <c r="I1305" s="35"/>
      <c r="J1305" s="35"/>
      <c r="K1305" s="35"/>
      <c r="L1305" s="35"/>
      <c r="M1305" s="35"/>
    </row>
    <row r="1306" spans="2:13" x14ac:dyDescent="0.35">
      <c r="B1306" s="32"/>
      <c r="C1306" s="35"/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</row>
    <row r="1307" spans="2:13" x14ac:dyDescent="0.35">
      <c r="B1307" s="32"/>
      <c r="C1307" s="35"/>
      <c r="D1307" s="35"/>
      <c r="E1307" s="35"/>
      <c r="F1307" s="35"/>
      <c r="G1307" s="35"/>
      <c r="H1307" s="35"/>
      <c r="I1307" s="35"/>
      <c r="J1307" s="35"/>
      <c r="K1307" s="35"/>
      <c r="L1307" s="35"/>
      <c r="M1307" s="35"/>
    </row>
    <row r="1308" spans="2:13" x14ac:dyDescent="0.35">
      <c r="B1308" s="32"/>
      <c r="C1308" s="35"/>
      <c r="D1308" s="35"/>
      <c r="E1308" s="35"/>
      <c r="F1308" s="35"/>
      <c r="G1308" s="35"/>
      <c r="H1308" s="35"/>
      <c r="I1308" s="35"/>
      <c r="J1308" s="35"/>
      <c r="K1308" s="35"/>
      <c r="L1308" s="35"/>
      <c r="M1308" s="35"/>
    </row>
    <row r="1309" spans="2:13" x14ac:dyDescent="0.35">
      <c r="B1309" s="32"/>
      <c r="C1309" s="35"/>
      <c r="D1309" s="35"/>
      <c r="E1309" s="35"/>
      <c r="F1309" s="35"/>
      <c r="G1309" s="35"/>
      <c r="H1309" s="35"/>
      <c r="I1309" s="35"/>
      <c r="J1309" s="35"/>
      <c r="K1309" s="35"/>
      <c r="L1309" s="35"/>
      <c r="M1309" s="35"/>
    </row>
    <row r="1310" spans="2:13" x14ac:dyDescent="0.35">
      <c r="B1310" s="32"/>
      <c r="C1310" s="35"/>
      <c r="D1310" s="35"/>
      <c r="E1310" s="35"/>
      <c r="F1310" s="35"/>
      <c r="G1310" s="35"/>
      <c r="H1310" s="35"/>
      <c r="I1310" s="35"/>
      <c r="J1310" s="35"/>
      <c r="K1310" s="35"/>
      <c r="L1310" s="35"/>
      <c r="M1310" s="35"/>
    </row>
    <row r="1311" spans="2:13" x14ac:dyDescent="0.35">
      <c r="B1311" s="32"/>
      <c r="C1311" s="35"/>
      <c r="D1311" s="35"/>
      <c r="E1311" s="35"/>
      <c r="F1311" s="35"/>
      <c r="G1311" s="35"/>
      <c r="H1311" s="35"/>
      <c r="I1311" s="35"/>
      <c r="J1311" s="35"/>
      <c r="K1311" s="35"/>
      <c r="L1311" s="35"/>
      <c r="M1311" s="35"/>
    </row>
    <row r="1312" spans="2:13" x14ac:dyDescent="0.35">
      <c r="B1312" s="32"/>
      <c r="C1312" s="35"/>
      <c r="D1312" s="35"/>
      <c r="E1312" s="35"/>
      <c r="F1312" s="35"/>
      <c r="G1312" s="35"/>
      <c r="H1312" s="35"/>
      <c r="I1312" s="35"/>
      <c r="J1312" s="35"/>
      <c r="K1312" s="35"/>
      <c r="L1312" s="35"/>
      <c r="M1312" s="35"/>
    </row>
    <row r="1313" spans="2:13" x14ac:dyDescent="0.35">
      <c r="B1313" s="32"/>
      <c r="C1313" s="35"/>
      <c r="D1313" s="35"/>
      <c r="E1313" s="35"/>
      <c r="F1313" s="35"/>
      <c r="G1313" s="35"/>
      <c r="H1313" s="35"/>
      <c r="I1313" s="35"/>
      <c r="J1313" s="35"/>
      <c r="K1313" s="35"/>
      <c r="L1313" s="35"/>
      <c r="M1313" s="35"/>
    </row>
    <row r="1314" spans="2:13" x14ac:dyDescent="0.35">
      <c r="B1314" s="32"/>
      <c r="C1314" s="35"/>
      <c r="D1314" s="35"/>
      <c r="E1314" s="35"/>
      <c r="F1314" s="35"/>
      <c r="G1314" s="35"/>
      <c r="H1314" s="35"/>
      <c r="I1314" s="35"/>
      <c r="J1314" s="35"/>
      <c r="K1314" s="35"/>
      <c r="L1314" s="35"/>
      <c r="M1314" s="35"/>
    </row>
    <row r="1315" spans="2:13" x14ac:dyDescent="0.35">
      <c r="B1315" s="32"/>
      <c r="C1315" s="35"/>
      <c r="D1315" s="35"/>
      <c r="E1315" s="35"/>
      <c r="F1315" s="35"/>
      <c r="G1315" s="35"/>
      <c r="H1315" s="35"/>
      <c r="I1315" s="35"/>
      <c r="J1315" s="35"/>
      <c r="K1315" s="35"/>
      <c r="L1315" s="35"/>
      <c r="M1315" s="35"/>
    </row>
    <row r="1316" spans="2:13" x14ac:dyDescent="0.35">
      <c r="B1316" s="32"/>
      <c r="C1316" s="35"/>
      <c r="D1316" s="35"/>
      <c r="E1316" s="35"/>
      <c r="F1316" s="35"/>
      <c r="G1316" s="35"/>
      <c r="H1316" s="35"/>
      <c r="I1316" s="35"/>
      <c r="J1316" s="35"/>
      <c r="K1316" s="35"/>
      <c r="L1316" s="35"/>
      <c r="M1316" s="35"/>
    </row>
    <row r="1317" spans="2:13" x14ac:dyDescent="0.35">
      <c r="B1317" s="32"/>
      <c r="C1317" s="35"/>
      <c r="D1317" s="35"/>
      <c r="E1317" s="35"/>
      <c r="F1317" s="35"/>
      <c r="G1317" s="35"/>
      <c r="H1317" s="35"/>
      <c r="I1317" s="35"/>
      <c r="J1317" s="35"/>
      <c r="K1317" s="35"/>
      <c r="L1317" s="35"/>
      <c r="M1317" s="35"/>
    </row>
    <row r="1318" spans="2:13" x14ac:dyDescent="0.35">
      <c r="B1318" s="32"/>
      <c r="C1318" s="35"/>
      <c r="D1318" s="35"/>
      <c r="E1318" s="35"/>
      <c r="F1318" s="35"/>
      <c r="G1318" s="35"/>
      <c r="H1318" s="35"/>
      <c r="I1318" s="35"/>
      <c r="J1318" s="35"/>
      <c r="K1318" s="35"/>
      <c r="L1318" s="35"/>
      <c r="M1318" s="35"/>
    </row>
    <row r="1319" spans="2:13" x14ac:dyDescent="0.35">
      <c r="B1319" s="32"/>
      <c r="C1319" s="35"/>
      <c r="D1319" s="35"/>
      <c r="E1319" s="35"/>
      <c r="F1319" s="35"/>
      <c r="G1319" s="35"/>
      <c r="H1319" s="35"/>
      <c r="I1319" s="35"/>
      <c r="J1319" s="35"/>
      <c r="K1319" s="35"/>
      <c r="L1319" s="35"/>
      <c r="M1319" s="35"/>
    </row>
    <row r="1320" spans="2:13" x14ac:dyDescent="0.35">
      <c r="B1320" s="32"/>
      <c r="C1320" s="35"/>
      <c r="D1320" s="35"/>
      <c r="E1320" s="35"/>
      <c r="F1320" s="35"/>
      <c r="G1320" s="35"/>
      <c r="H1320" s="35"/>
      <c r="I1320" s="35"/>
      <c r="J1320" s="35"/>
      <c r="K1320" s="35"/>
      <c r="L1320" s="35"/>
      <c r="M1320" s="35"/>
    </row>
    <row r="1321" spans="2:13" x14ac:dyDescent="0.35">
      <c r="B1321" s="32"/>
      <c r="C1321" s="35"/>
      <c r="D1321" s="35"/>
      <c r="E1321" s="35"/>
      <c r="F1321" s="35"/>
      <c r="G1321" s="35"/>
      <c r="H1321" s="35"/>
      <c r="I1321" s="35"/>
      <c r="J1321" s="35"/>
      <c r="K1321" s="35"/>
      <c r="L1321" s="35"/>
      <c r="M1321" s="35"/>
    </row>
    <row r="1322" spans="2:13" x14ac:dyDescent="0.35">
      <c r="B1322" s="32"/>
      <c r="C1322" s="35"/>
      <c r="D1322" s="35"/>
      <c r="E1322" s="35"/>
      <c r="F1322" s="35"/>
      <c r="G1322" s="35"/>
      <c r="H1322" s="35"/>
      <c r="I1322" s="35"/>
      <c r="J1322" s="35"/>
      <c r="K1322" s="35"/>
      <c r="L1322" s="35"/>
      <c r="M1322" s="35"/>
    </row>
    <row r="1323" spans="2:13" x14ac:dyDescent="0.35">
      <c r="B1323" s="32"/>
      <c r="C1323" s="35"/>
      <c r="D1323" s="35"/>
      <c r="E1323" s="35"/>
      <c r="F1323" s="35"/>
      <c r="G1323" s="35"/>
      <c r="H1323" s="35"/>
      <c r="I1323" s="35"/>
      <c r="J1323" s="35"/>
      <c r="K1323" s="35"/>
      <c r="L1323" s="35"/>
      <c r="M1323" s="35"/>
    </row>
    <row r="1324" spans="2:13" x14ac:dyDescent="0.35">
      <c r="B1324" s="32"/>
      <c r="C1324" s="35"/>
      <c r="D1324" s="35"/>
      <c r="E1324" s="35"/>
      <c r="F1324" s="35"/>
      <c r="G1324" s="35"/>
      <c r="H1324" s="35"/>
      <c r="I1324" s="35"/>
      <c r="J1324" s="35"/>
      <c r="K1324" s="35"/>
      <c r="L1324" s="35"/>
      <c r="M1324" s="35"/>
    </row>
    <row r="1325" spans="2:13" x14ac:dyDescent="0.35">
      <c r="B1325" s="32"/>
      <c r="C1325" s="35"/>
      <c r="D1325" s="35"/>
      <c r="E1325" s="35"/>
      <c r="F1325" s="35"/>
      <c r="G1325" s="35"/>
      <c r="H1325" s="35"/>
      <c r="I1325" s="35"/>
      <c r="J1325" s="35"/>
      <c r="K1325" s="35"/>
      <c r="L1325" s="35"/>
      <c r="M1325" s="35"/>
    </row>
    <row r="1326" spans="2:13" x14ac:dyDescent="0.35">
      <c r="B1326" s="32"/>
      <c r="C1326" s="35"/>
      <c r="D1326" s="35"/>
      <c r="E1326" s="35"/>
      <c r="F1326" s="35"/>
      <c r="G1326" s="35"/>
      <c r="H1326" s="35"/>
      <c r="I1326" s="35"/>
      <c r="J1326" s="35"/>
      <c r="K1326" s="35"/>
      <c r="L1326" s="35"/>
      <c r="M1326" s="35"/>
    </row>
    <row r="1327" spans="2:13" x14ac:dyDescent="0.35">
      <c r="B1327" s="32"/>
      <c r="C1327" s="35"/>
      <c r="D1327" s="35"/>
      <c r="E1327" s="35"/>
      <c r="F1327" s="35"/>
      <c r="G1327" s="35"/>
      <c r="H1327" s="35"/>
      <c r="I1327" s="35"/>
      <c r="J1327" s="35"/>
      <c r="K1327" s="35"/>
      <c r="L1327" s="35"/>
      <c r="M1327" s="35"/>
    </row>
    <row r="1328" spans="2:13" x14ac:dyDescent="0.35">
      <c r="B1328" s="32"/>
      <c r="C1328" s="35"/>
      <c r="D1328" s="35"/>
      <c r="E1328" s="35"/>
      <c r="F1328" s="35"/>
      <c r="G1328" s="35"/>
      <c r="H1328" s="35"/>
      <c r="I1328" s="35"/>
      <c r="J1328" s="35"/>
      <c r="K1328" s="35"/>
      <c r="L1328" s="35"/>
      <c r="M1328" s="35"/>
    </row>
    <row r="1329" spans="2:13" x14ac:dyDescent="0.35">
      <c r="B1329" s="32"/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</row>
    <row r="1330" spans="2:13" x14ac:dyDescent="0.35">
      <c r="B1330" s="32"/>
      <c r="C1330" s="35"/>
      <c r="D1330" s="35"/>
      <c r="E1330" s="35"/>
      <c r="F1330" s="35"/>
      <c r="G1330" s="35"/>
      <c r="H1330" s="35"/>
      <c r="I1330" s="35"/>
      <c r="J1330" s="35"/>
      <c r="K1330" s="35"/>
      <c r="L1330" s="35"/>
      <c r="M1330" s="35"/>
    </row>
    <row r="1331" spans="2:13" x14ac:dyDescent="0.35">
      <c r="B1331" s="32"/>
      <c r="C1331" s="35"/>
      <c r="D1331" s="35"/>
      <c r="E1331" s="35"/>
      <c r="F1331" s="35"/>
      <c r="G1331" s="35"/>
      <c r="H1331" s="35"/>
      <c r="I1331" s="35"/>
      <c r="J1331" s="35"/>
      <c r="K1331" s="35"/>
      <c r="L1331" s="35"/>
      <c r="M1331" s="35"/>
    </row>
    <row r="1332" spans="2:13" x14ac:dyDescent="0.35">
      <c r="B1332" s="32"/>
      <c r="C1332" s="35"/>
      <c r="D1332" s="35"/>
      <c r="E1332" s="35"/>
      <c r="F1332" s="35"/>
      <c r="G1332" s="35"/>
      <c r="H1332" s="35"/>
      <c r="I1332" s="35"/>
      <c r="J1332" s="35"/>
      <c r="K1332" s="35"/>
      <c r="L1332" s="35"/>
      <c r="M1332" s="35"/>
    </row>
    <row r="1333" spans="2:13" x14ac:dyDescent="0.35">
      <c r="B1333" s="32"/>
      <c r="C1333" s="35"/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</row>
    <row r="1334" spans="2:13" x14ac:dyDescent="0.35">
      <c r="B1334" s="32"/>
      <c r="C1334" s="35"/>
      <c r="D1334" s="35"/>
      <c r="E1334" s="35"/>
      <c r="F1334" s="35"/>
      <c r="G1334" s="35"/>
      <c r="H1334" s="35"/>
      <c r="I1334" s="35"/>
      <c r="J1334" s="35"/>
      <c r="K1334" s="35"/>
      <c r="L1334" s="35"/>
      <c r="M1334" s="35"/>
    </row>
    <row r="1335" spans="2:13" x14ac:dyDescent="0.35">
      <c r="B1335" s="32"/>
      <c r="C1335" s="35"/>
      <c r="D1335" s="35"/>
      <c r="E1335" s="35"/>
      <c r="F1335" s="35"/>
      <c r="G1335" s="35"/>
      <c r="H1335" s="35"/>
      <c r="I1335" s="35"/>
      <c r="J1335" s="35"/>
      <c r="K1335" s="35"/>
      <c r="L1335" s="35"/>
      <c r="M1335" s="35"/>
    </row>
    <row r="1336" spans="2:13" x14ac:dyDescent="0.35">
      <c r="B1336" s="32"/>
      <c r="C1336" s="35"/>
      <c r="D1336" s="35"/>
      <c r="E1336" s="35"/>
      <c r="F1336" s="35"/>
      <c r="G1336" s="35"/>
      <c r="H1336" s="35"/>
      <c r="I1336" s="35"/>
      <c r="J1336" s="35"/>
      <c r="K1336" s="35"/>
      <c r="L1336" s="35"/>
      <c r="M1336" s="35"/>
    </row>
    <row r="1337" spans="2:13" x14ac:dyDescent="0.35">
      <c r="B1337" s="32"/>
      <c r="C1337" s="35"/>
      <c r="D1337" s="35"/>
      <c r="E1337" s="35"/>
      <c r="F1337" s="35"/>
      <c r="G1337" s="35"/>
      <c r="H1337" s="35"/>
      <c r="I1337" s="35"/>
      <c r="J1337" s="35"/>
      <c r="K1337" s="35"/>
      <c r="L1337" s="35"/>
      <c r="M1337" s="35"/>
    </row>
    <row r="1338" spans="2:13" x14ac:dyDescent="0.35">
      <c r="B1338" s="32"/>
      <c r="C1338" s="35"/>
      <c r="D1338" s="35"/>
      <c r="E1338" s="35"/>
      <c r="F1338" s="35"/>
      <c r="G1338" s="35"/>
      <c r="H1338" s="35"/>
      <c r="I1338" s="35"/>
      <c r="J1338" s="35"/>
      <c r="K1338" s="35"/>
      <c r="L1338" s="35"/>
      <c r="M1338" s="35"/>
    </row>
    <row r="1339" spans="2:13" x14ac:dyDescent="0.35">
      <c r="B1339" s="32"/>
      <c r="C1339" s="35"/>
      <c r="D1339" s="35"/>
      <c r="E1339" s="35"/>
      <c r="F1339" s="35"/>
      <c r="G1339" s="35"/>
      <c r="H1339" s="35"/>
      <c r="I1339" s="35"/>
      <c r="J1339" s="35"/>
      <c r="K1339" s="35"/>
      <c r="L1339" s="35"/>
      <c r="M1339" s="35"/>
    </row>
    <row r="1340" spans="2:13" x14ac:dyDescent="0.35">
      <c r="B1340" s="32"/>
      <c r="C1340" s="35"/>
      <c r="D1340" s="35"/>
      <c r="E1340" s="35"/>
      <c r="F1340" s="35"/>
      <c r="G1340" s="35"/>
      <c r="H1340" s="35"/>
      <c r="I1340" s="35"/>
      <c r="J1340" s="35"/>
      <c r="K1340" s="35"/>
      <c r="L1340" s="35"/>
      <c r="M1340" s="35"/>
    </row>
    <row r="1341" spans="2:13" x14ac:dyDescent="0.35">
      <c r="B1341" s="32"/>
      <c r="C1341" s="35"/>
      <c r="D1341" s="35"/>
      <c r="E1341" s="35"/>
      <c r="F1341" s="35"/>
      <c r="G1341" s="35"/>
      <c r="H1341" s="35"/>
      <c r="I1341" s="35"/>
      <c r="J1341" s="35"/>
      <c r="K1341" s="35"/>
      <c r="L1341" s="35"/>
      <c r="M1341" s="35"/>
    </row>
    <row r="1342" spans="2:13" x14ac:dyDescent="0.35">
      <c r="B1342" s="32"/>
      <c r="C1342" s="35"/>
      <c r="D1342" s="35"/>
      <c r="E1342" s="35"/>
      <c r="F1342" s="35"/>
      <c r="G1342" s="35"/>
      <c r="H1342" s="35"/>
      <c r="I1342" s="35"/>
      <c r="J1342" s="35"/>
      <c r="K1342" s="35"/>
      <c r="L1342" s="35"/>
      <c r="M1342" s="35"/>
    </row>
    <row r="1343" spans="2:13" x14ac:dyDescent="0.35">
      <c r="B1343" s="32"/>
      <c r="C1343" s="35"/>
      <c r="D1343" s="35"/>
      <c r="E1343" s="35"/>
      <c r="F1343" s="35"/>
      <c r="G1343" s="35"/>
      <c r="H1343" s="35"/>
      <c r="I1343" s="35"/>
      <c r="J1343" s="35"/>
      <c r="K1343" s="35"/>
      <c r="L1343" s="35"/>
      <c r="M1343" s="35"/>
    </row>
    <row r="1344" spans="2:13" x14ac:dyDescent="0.35">
      <c r="B1344" s="32"/>
      <c r="C1344" s="35"/>
      <c r="D1344" s="35"/>
      <c r="E1344" s="35"/>
      <c r="F1344" s="35"/>
      <c r="G1344" s="35"/>
      <c r="H1344" s="35"/>
      <c r="I1344" s="35"/>
      <c r="J1344" s="35"/>
      <c r="K1344" s="35"/>
      <c r="L1344" s="35"/>
      <c r="M1344" s="35"/>
    </row>
    <row r="1345" spans="2:13" x14ac:dyDescent="0.35">
      <c r="B1345" s="32"/>
      <c r="C1345" s="35"/>
      <c r="D1345" s="35"/>
      <c r="E1345" s="35"/>
      <c r="F1345" s="35"/>
      <c r="G1345" s="35"/>
      <c r="H1345" s="35"/>
      <c r="I1345" s="35"/>
      <c r="J1345" s="35"/>
      <c r="K1345" s="35"/>
      <c r="L1345" s="35"/>
      <c r="M1345" s="35"/>
    </row>
    <row r="1346" spans="2:13" x14ac:dyDescent="0.35">
      <c r="B1346" s="32"/>
      <c r="C1346" s="35"/>
      <c r="D1346" s="35"/>
      <c r="E1346" s="35"/>
      <c r="F1346" s="35"/>
      <c r="G1346" s="35"/>
      <c r="H1346" s="35"/>
      <c r="I1346" s="35"/>
      <c r="J1346" s="35"/>
      <c r="K1346" s="35"/>
      <c r="L1346" s="35"/>
      <c r="M1346" s="35"/>
    </row>
    <row r="1347" spans="2:13" x14ac:dyDescent="0.35">
      <c r="B1347" s="32"/>
      <c r="C1347" s="35"/>
      <c r="D1347" s="35"/>
      <c r="E1347" s="35"/>
      <c r="F1347" s="35"/>
      <c r="G1347" s="35"/>
      <c r="H1347" s="35"/>
      <c r="I1347" s="35"/>
      <c r="J1347" s="35"/>
      <c r="K1347" s="35"/>
      <c r="L1347" s="35"/>
      <c r="M1347" s="35"/>
    </row>
    <row r="1348" spans="2:13" x14ac:dyDescent="0.35">
      <c r="B1348" s="32"/>
      <c r="C1348" s="35"/>
      <c r="D1348" s="35"/>
      <c r="E1348" s="35"/>
      <c r="F1348" s="35"/>
      <c r="G1348" s="35"/>
      <c r="H1348" s="35"/>
      <c r="I1348" s="35"/>
      <c r="J1348" s="35"/>
      <c r="K1348" s="35"/>
      <c r="L1348" s="35"/>
      <c r="M1348" s="35"/>
    </row>
    <row r="1349" spans="2:13" x14ac:dyDescent="0.35">
      <c r="B1349" s="32"/>
      <c r="C1349" s="35"/>
      <c r="D1349" s="35"/>
      <c r="E1349" s="35"/>
      <c r="F1349" s="35"/>
      <c r="G1349" s="35"/>
      <c r="H1349" s="35"/>
      <c r="I1349" s="35"/>
      <c r="J1349" s="35"/>
      <c r="K1349" s="35"/>
      <c r="L1349" s="35"/>
      <c r="M1349" s="35"/>
    </row>
    <row r="1350" spans="2:13" x14ac:dyDescent="0.35">
      <c r="B1350" s="32"/>
      <c r="C1350" s="35"/>
      <c r="D1350" s="35"/>
      <c r="E1350" s="35"/>
      <c r="F1350" s="35"/>
      <c r="G1350" s="35"/>
      <c r="H1350" s="35"/>
      <c r="I1350" s="35"/>
      <c r="J1350" s="35"/>
      <c r="K1350" s="35"/>
      <c r="L1350" s="35"/>
      <c r="M1350" s="35"/>
    </row>
    <row r="1351" spans="2:13" x14ac:dyDescent="0.35">
      <c r="B1351" s="32"/>
      <c r="C1351" s="35"/>
      <c r="D1351" s="35"/>
      <c r="E1351" s="35"/>
      <c r="F1351" s="35"/>
      <c r="G1351" s="35"/>
      <c r="H1351" s="35"/>
      <c r="I1351" s="35"/>
      <c r="J1351" s="35"/>
      <c r="K1351" s="35"/>
      <c r="L1351" s="35"/>
      <c r="M1351" s="35"/>
    </row>
    <row r="1352" spans="2:13" x14ac:dyDescent="0.35">
      <c r="B1352" s="32"/>
      <c r="C1352" s="35"/>
      <c r="D1352" s="35"/>
      <c r="E1352" s="35"/>
      <c r="F1352" s="35"/>
      <c r="G1352" s="35"/>
      <c r="H1352" s="35"/>
      <c r="I1352" s="35"/>
      <c r="J1352" s="35"/>
      <c r="K1352" s="35"/>
      <c r="L1352" s="35"/>
      <c r="M1352" s="35"/>
    </row>
    <row r="1353" spans="2:13" x14ac:dyDescent="0.35">
      <c r="B1353" s="32"/>
      <c r="C1353" s="35"/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</row>
    <row r="1354" spans="2:13" x14ac:dyDescent="0.35">
      <c r="B1354" s="32"/>
      <c r="C1354" s="35"/>
      <c r="D1354" s="35"/>
      <c r="E1354" s="35"/>
      <c r="F1354" s="35"/>
      <c r="G1354" s="35"/>
      <c r="H1354" s="35"/>
      <c r="I1354" s="35"/>
      <c r="J1354" s="35"/>
      <c r="K1354" s="35"/>
      <c r="L1354" s="35"/>
      <c r="M1354" s="35"/>
    </row>
    <row r="1355" spans="2:13" x14ac:dyDescent="0.35">
      <c r="B1355" s="32"/>
      <c r="C1355" s="35"/>
      <c r="D1355" s="35"/>
      <c r="E1355" s="35"/>
      <c r="F1355" s="35"/>
      <c r="G1355" s="35"/>
      <c r="H1355" s="35"/>
      <c r="I1355" s="35"/>
      <c r="J1355" s="35"/>
      <c r="K1355" s="35"/>
      <c r="L1355" s="35"/>
      <c r="M1355" s="35"/>
    </row>
    <row r="1356" spans="2:13" x14ac:dyDescent="0.35">
      <c r="B1356" s="32"/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35"/>
    </row>
    <row r="1357" spans="2:13" x14ac:dyDescent="0.35">
      <c r="B1357" s="32"/>
      <c r="C1357" s="35"/>
      <c r="D1357" s="35"/>
      <c r="E1357" s="35"/>
      <c r="F1357" s="35"/>
      <c r="G1357" s="35"/>
      <c r="H1357" s="35"/>
      <c r="I1357" s="35"/>
      <c r="J1357" s="35"/>
      <c r="K1357" s="35"/>
      <c r="L1357" s="35"/>
      <c r="M1357" s="35"/>
    </row>
    <row r="1358" spans="2:13" x14ac:dyDescent="0.35">
      <c r="B1358" s="32"/>
      <c r="C1358" s="35"/>
      <c r="D1358" s="35"/>
      <c r="E1358" s="35"/>
      <c r="F1358" s="35"/>
      <c r="G1358" s="35"/>
      <c r="H1358" s="35"/>
      <c r="I1358" s="35"/>
      <c r="J1358" s="35"/>
      <c r="K1358" s="35"/>
      <c r="L1358" s="35"/>
      <c r="M1358" s="35"/>
    </row>
    <row r="1359" spans="2:13" x14ac:dyDescent="0.35">
      <c r="B1359" s="32"/>
      <c r="C1359" s="35"/>
      <c r="D1359" s="35"/>
      <c r="E1359" s="35"/>
      <c r="F1359" s="35"/>
      <c r="G1359" s="35"/>
      <c r="H1359" s="35"/>
      <c r="I1359" s="35"/>
      <c r="J1359" s="35"/>
      <c r="K1359" s="35"/>
      <c r="L1359" s="35"/>
      <c r="M1359" s="35"/>
    </row>
    <row r="1360" spans="2:13" x14ac:dyDescent="0.35">
      <c r="B1360" s="32"/>
      <c r="C1360" s="35"/>
      <c r="D1360" s="35"/>
      <c r="E1360" s="35"/>
      <c r="F1360" s="35"/>
      <c r="G1360" s="35"/>
      <c r="H1360" s="35"/>
      <c r="I1360" s="35"/>
      <c r="J1360" s="35"/>
      <c r="K1360" s="35"/>
      <c r="L1360" s="35"/>
      <c r="M1360" s="35"/>
    </row>
    <row r="1361" spans="2:13" x14ac:dyDescent="0.35">
      <c r="B1361" s="32"/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35"/>
    </row>
    <row r="1362" spans="2:13" x14ac:dyDescent="0.35">
      <c r="B1362" s="32"/>
      <c r="C1362" s="35"/>
      <c r="D1362" s="35"/>
      <c r="E1362" s="35"/>
      <c r="F1362" s="35"/>
      <c r="G1362" s="35"/>
      <c r="H1362" s="35"/>
      <c r="I1362" s="35"/>
      <c r="J1362" s="35"/>
      <c r="K1362" s="35"/>
      <c r="L1362" s="35"/>
      <c r="M1362" s="35"/>
    </row>
    <row r="1363" spans="2:13" x14ac:dyDescent="0.35">
      <c r="B1363" s="32"/>
      <c r="C1363" s="35"/>
      <c r="D1363" s="35"/>
      <c r="E1363" s="35"/>
      <c r="F1363" s="35"/>
      <c r="G1363" s="35"/>
      <c r="H1363" s="35"/>
      <c r="I1363" s="35"/>
      <c r="J1363" s="35"/>
      <c r="K1363" s="35"/>
      <c r="L1363" s="35"/>
      <c r="M1363" s="35"/>
    </row>
    <row r="1364" spans="2:13" x14ac:dyDescent="0.35">
      <c r="B1364" s="32"/>
      <c r="C1364" s="35"/>
      <c r="D1364" s="35"/>
      <c r="E1364" s="35"/>
      <c r="F1364" s="35"/>
      <c r="G1364" s="35"/>
      <c r="H1364" s="35"/>
      <c r="I1364" s="35"/>
      <c r="J1364" s="35"/>
      <c r="K1364" s="35"/>
      <c r="L1364" s="35"/>
      <c r="M1364" s="35"/>
    </row>
    <row r="1365" spans="2:13" x14ac:dyDescent="0.35">
      <c r="B1365" s="32"/>
      <c r="C1365" s="35"/>
      <c r="D1365" s="35"/>
      <c r="E1365" s="35"/>
      <c r="F1365" s="35"/>
      <c r="G1365" s="35"/>
      <c r="H1365" s="35"/>
      <c r="I1365" s="35"/>
      <c r="J1365" s="35"/>
      <c r="K1365" s="35"/>
      <c r="L1365" s="35"/>
      <c r="M1365" s="35"/>
    </row>
    <row r="1366" spans="2:13" x14ac:dyDescent="0.35">
      <c r="B1366" s="32"/>
      <c r="C1366" s="35"/>
      <c r="D1366" s="35"/>
      <c r="E1366" s="35"/>
      <c r="F1366" s="35"/>
      <c r="G1366" s="35"/>
      <c r="H1366" s="35"/>
      <c r="I1366" s="35"/>
      <c r="J1366" s="35"/>
      <c r="K1366" s="35"/>
      <c r="L1366" s="35"/>
      <c r="M1366" s="35"/>
    </row>
    <row r="1367" spans="2:13" x14ac:dyDescent="0.35">
      <c r="B1367" s="32"/>
      <c r="C1367" s="35"/>
      <c r="D1367" s="35"/>
      <c r="E1367" s="35"/>
      <c r="F1367" s="35"/>
      <c r="G1367" s="35"/>
      <c r="H1367" s="35"/>
      <c r="I1367" s="35"/>
      <c r="J1367" s="35"/>
      <c r="K1367" s="35"/>
      <c r="L1367" s="35"/>
      <c r="M1367" s="35"/>
    </row>
    <row r="1368" spans="2:13" x14ac:dyDescent="0.35">
      <c r="B1368" s="32"/>
      <c r="C1368" s="35"/>
      <c r="D1368" s="35"/>
      <c r="E1368" s="35"/>
      <c r="F1368" s="35"/>
      <c r="G1368" s="35"/>
      <c r="H1368" s="35"/>
      <c r="I1368" s="35"/>
      <c r="J1368" s="35"/>
      <c r="K1368" s="35"/>
      <c r="L1368" s="35"/>
      <c r="M1368" s="35"/>
    </row>
    <row r="1369" spans="2:13" x14ac:dyDescent="0.35">
      <c r="B1369" s="32"/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35"/>
    </row>
    <row r="1370" spans="2:13" x14ac:dyDescent="0.35">
      <c r="B1370" s="32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  <c r="M1370" s="35"/>
    </row>
    <row r="1371" spans="2:13" x14ac:dyDescent="0.35">
      <c r="B1371" s="32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  <c r="M1371" s="35"/>
    </row>
    <row r="1372" spans="2:13" x14ac:dyDescent="0.35">
      <c r="B1372" s="32"/>
      <c r="C1372" s="35"/>
      <c r="D1372" s="35"/>
      <c r="E1372" s="35"/>
      <c r="F1372" s="35"/>
      <c r="G1372" s="35"/>
      <c r="H1372" s="35"/>
      <c r="I1372" s="35"/>
      <c r="J1372" s="35"/>
      <c r="K1372" s="35"/>
      <c r="L1372" s="35"/>
      <c r="M1372" s="35"/>
    </row>
    <row r="1373" spans="2:13" x14ac:dyDescent="0.35">
      <c r="B1373" s="32"/>
      <c r="C1373" s="35"/>
      <c r="D1373" s="35"/>
      <c r="E1373" s="35"/>
      <c r="F1373" s="35"/>
      <c r="G1373" s="35"/>
      <c r="H1373" s="35"/>
      <c r="I1373" s="35"/>
      <c r="J1373" s="35"/>
      <c r="K1373" s="35"/>
      <c r="L1373" s="35"/>
      <c r="M1373" s="35"/>
    </row>
    <row r="1374" spans="2:13" x14ac:dyDescent="0.35">
      <c r="B1374" s="32"/>
      <c r="C1374" s="35"/>
      <c r="D1374" s="35"/>
      <c r="E1374" s="35"/>
      <c r="F1374" s="35"/>
      <c r="G1374" s="35"/>
      <c r="H1374" s="35"/>
      <c r="I1374" s="35"/>
      <c r="J1374" s="35"/>
      <c r="K1374" s="35"/>
      <c r="L1374" s="35"/>
      <c r="M1374" s="35"/>
    </row>
    <row r="1375" spans="2:13" x14ac:dyDescent="0.35">
      <c r="B1375" s="32"/>
      <c r="C1375" s="35"/>
      <c r="D1375" s="35"/>
      <c r="E1375" s="35"/>
      <c r="F1375" s="35"/>
      <c r="G1375" s="35"/>
      <c r="H1375" s="35"/>
      <c r="I1375" s="35"/>
      <c r="J1375" s="35"/>
      <c r="K1375" s="35"/>
      <c r="L1375" s="35"/>
      <c r="M1375" s="35"/>
    </row>
    <row r="1376" spans="2:13" x14ac:dyDescent="0.35">
      <c r="B1376" s="32"/>
      <c r="C1376" s="35"/>
      <c r="D1376" s="35"/>
      <c r="E1376" s="35"/>
      <c r="F1376" s="35"/>
      <c r="G1376" s="35"/>
      <c r="H1376" s="35"/>
      <c r="I1376" s="35"/>
      <c r="J1376" s="35"/>
      <c r="K1376" s="35"/>
      <c r="L1376" s="35"/>
      <c r="M1376" s="35"/>
    </row>
    <row r="1377" spans="2:13" x14ac:dyDescent="0.35">
      <c r="B1377" s="32"/>
      <c r="C1377" s="35"/>
      <c r="D1377" s="35"/>
      <c r="E1377" s="35"/>
      <c r="F1377" s="35"/>
      <c r="G1377" s="35"/>
      <c r="H1377" s="35"/>
      <c r="I1377" s="35"/>
      <c r="J1377" s="35"/>
      <c r="K1377" s="35"/>
      <c r="L1377" s="35"/>
      <c r="M1377" s="35"/>
    </row>
    <row r="1378" spans="2:13" x14ac:dyDescent="0.35">
      <c r="B1378" s="32"/>
      <c r="C1378" s="35"/>
      <c r="D1378" s="35"/>
      <c r="E1378" s="35"/>
      <c r="F1378" s="35"/>
      <c r="G1378" s="35"/>
      <c r="H1378" s="35"/>
      <c r="I1378" s="35"/>
      <c r="J1378" s="35"/>
      <c r="K1378" s="35"/>
      <c r="L1378" s="35"/>
      <c r="M1378" s="35"/>
    </row>
    <row r="1379" spans="2:13" x14ac:dyDescent="0.35">
      <c r="B1379" s="32"/>
      <c r="C1379" s="35"/>
      <c r="D1379" s="35"/>
      <c r="E1379" s="35"/>
      <c r="F1379" s="35"/>
      <c r="G1379" s="35"/>
      <c r="H1379" s="35"/>
      <c r="I1379" s="35"/>
      <c r="J1379" s="35"/>
      <c r="K1379" s="35"/>
      <c r="L1379" s="35"/>
      <c r="M1379" s="35"/>
    </row>
    <row r="1380" spans="2:13" x14ac:dyDescent="0.35">
      <c r="B1380" s="32"/>
      <c r="C1380" s="35"/>
      <c r="D1380" s="35"/>
      <c r="E1380" s="35"/>
      <c r="F1380" s="35"/>
      <c r="G1380" s="35"/>
      <c r="H1380" s="35"/>
      <c r="I1380" s="35"/>
      <c r="J1380" s="35"/>
      <c r="K1380" s="35"/>
      <c r="L1380" s="35"/>
      <c r="M1380" s="35"/>
    </row>
    <row r="1381" spans="2:13" x14ac:dyDescent="0.35">
      <c r="B1381" s="32"/>
      <c r="C1381" s="35"/>
      <c r="D1381" s="35"/>
      <c r="E1381" s="35"/>
      <c r="F1381" s="35"/>
      <c r="G1381" s="35"/>
      <c r="H1381" s="35"/>
      <c r="I1381" s="35"/>
      <c r="J1381" s="35"/>
      <c r="K1381" s="35"/>
      <c r="L1381" s="35"/>
      <c r="M1381" s="35"/>
    </row>
    <row r="1382" spans="2:13" x14ac:dyDescent="0.35">
      <c r="B1382" s="32"/>
      <c r="C1382" s="35"/>
      <c r="D1382" s="35"/>
      <c r="E1382" s="35"/>
      <c r="F1382" s="35"/>
      <c r="G1382" s="35"/>
      <c r="H1382" s="35"/>
      <c r="I1382" s="35"/>
      <c r="J1382" s="35"/>
      <c r="K1382" s="35"/>
      <c r="L1382" s="35"/>
      <c r="M1382" s="35"/>
    </row>
    <row r="1383" spans="2:13" x14ac:dyDescent="0.35">
      <c r="B1383" s="32"/>
      <c r="C1383" s="35"/>
      <c r="D1383" s="35"/>
      <c r="E1383" s="35"/>
      <c r="F1383" s="35"/>
      <c r="G1383" s="35"/>
      <c r="H1383" s="35"/>
      <c r="I1383" s="35"/>
      <c r="J1383" s="35"/>
      <c r="K1383" s="35"/>
      <c r="L1383" s="35"/>
      <c r="M1383" s="35"/>
    </row>
    <row r="1384" spans="2:13" x14ac:dyDescent="0.35">
      <c r="B1384" s="32"/>
      <c r="C1384" s="35"/>
      <c r="D1384" s="35"/>
      <c r="E1384" s="35"/>
      <c r="F1384" s="35"/>
      <c r="G1384" s="35"/>
      <c r="H1384" s="35"/>
      <c r="I1384" s="35"/>
      <c r="J1384" s="35"/>
      <c r="K1384" s="35"/>
      <c r="L1384" s="35"/>
      <c r="M1384" s="35"/>
    </row>
    <row r="1385" spans="2:13" x14ac:dyDescent="0.35">
      <c r="B1385" s="32"/>
      <c r="C1385" s="35"/>
      <c r="D1385" s="35"/>
      <c r="E1385" s="35"/>
      <c r="F1385" s="35"/>
      <c r="G1385" s="35"/>
      <c r="H1385" s="35"/>
      <c r="I1385" s="35"/>
      <c r="J1385" s="35"/>
      <c r="K1385" s="35"/>
      <c r="L1385" s="35"/>
      <c r="M1385" s="35"/>
    </row>
    <row r="1386" spans="2:13" x14ac:dyDescent="0.35">
      <c r="B1386" s="32"/>
      <c r="C1386" s="35"/>
      <c r="D1386" s="35"/>
      <c r="E1386" s="35"/>
      <c r="F1386" s="35"/>
      <c r="G1386" s="35"/>
      <c r="H1386" s="35"/>
      <c r="I1386" s="35"/>
      <c r="J1386" s="35"/>
      <c r="K1386" s="35"/>
      <c r="L1386" s="35"/>
      <c r="M1386" s="35"/>
    </row>
    <row r="1387" spans="2:13" x14ac:dyDescent="0.35">
      <c r="B1387" s="32"/>
      <c r="C1387" s="35"/>
      <c r="D1387" s="35"/>
      <c r="E1387" s="35"/>
      <c r="F1387" s="35"/>
      <c r="G1387" s="35"/>
      <c r="H1387" s="35"/>
      <c r="I1387" s="35"/>
      <c r="J1387" s="35"/>
      <c r="K1387" s="35"/>
      <c r="L1387" s="35"/>
      <c r="M1387" s="35"/>
    </row>
    <row r="1388" spans="2:13" x14ac:dyDescent="0.35">
      <c r="B1388" s="32"/>
      <c r="C1388" s="35"/>
      <c r="D1388" s="35"/>
      <c r="E1388" s="35"/>
      <c r="F1388" s="35"/>
      <c r="G1388" s="35"/>
      <c r="H1388" s="35"/>
      <c r="I1388" s="35"/>
      <c r="J1388" s="35"/>
      <c r="K1388" s="35"/>
      <c r="L1388" s="35"/>
      <c r="M1388" s="35"/>
    </row>
    <row r="1389" spans="2:13" x14ac:dyDescent="0.35">
      <c r="B1389" s="32"/>
      <c r="C1389" s="35"/>
      <c r="D1389" s="35"/>
      <c r="E1389" s="35"/>
      <c r="F1389" s="35"/>
      <c r="G1389" s="35"/>
      <c r="H1389" s="35"/>
      <c r="I1389" s="35"/>
      <c r="J1389" s="35"/>
      <c r="K1389" s="35"/>
      <c r="L1389" s="35"/>
      <c r="M1389" s="35"/>
    </row>
    <row r="1390" spans="2:13" x14ac:dyDescent="0.35">
      <c r="B1390" s="32"/>
      <c r="C1390" s="35"/>
      <c r="D1390" s="35"/>
      <c r="E1390" s="35"/>
      <c r="F1390" s="35"/>
      <c r="G1390" s="35"/>
      <c r="H1390" s="35"/>
      <c r="I1390" s="35"/>
      <c r="J1390" s="35"/>
      <c r="K1390" s="35"/>
      <c r="L1390" s="35"/>
      <c r="M1390" s="35"/>
    </row>
    <row r="1391" spans="2:13" x14ac:dyDescent="0.35">
      <c r="B1391" s="32"/>
      <c r="C1391" s="35"/>
      <c r="D1391" s="35"/>
      <c r="E1391" s="35"/>
      <c r="F1391" s="35"/>
      <c r="G1391" s="35"/>
      <c r="H1391" s="35"/>
      <c r="I1391" s="35"/>
      <c r="J1391" s="35"/>
      <c r="K1391" s="35"/>
      <c r="L1391" s="35"/>
      <c r="M1391" s="35"/>
    </row>
    <row r="1392" spans="2:13" x14ac:dyDescent="0.35">
      <c r="B1392" s="32"/>
      <c r="C1392" s="35"/>
      <c r="D1392" s="35"/>
      <c r="E1392" s="35"/>
      <c r="F1392" s="35"/>
      <c r="G1392" s="35"/>
      <c r="H1392" s="35"/>
      <c r="I1392" s="35"/>
      <c r="J1392" s="35"/>
      <c r="K1392" s="35"/>
      <c r="L1392" s="35"/>
      <c r="M1392" s="35"/>
    </row>
    <row r="1393" spans="2:13" x14ac:dyDescent="0.35">
      <c r="B1393" s="32"/>
      <c r="C1393" s="35"/>
      <c r="D1393" s="35"/>
      <c r="E1393" s="35"/>
      <c r="F1393" s="35"/>
      <c r="G1393" s="35"/>
      <c r="H1393" s="35"/>
      <c r="I1393" s="35"/>
      <c r="J1393" s="35"/>
      <c r="K1393" s="35"/>
      <c r="L1393" s="35"/>
      <c r="M1393" s="35"/>
    </row>
    <row r="1394" spans="2:13" x14ac:dyDescent="0.35">
      <c r="B1394" s="32"/>
      <c r="C1394" s="35"/>
      <c r="D1394" s="35"/>
      <c r="E1394" s="35"/>
      <c r="F1394" s="35"/>
      <c r="G1394" s="35"/>
      <c r="H1394" s="35"/>
      <c r="I1394" s="35"/>
      <c r="J1394" s="35"/>
      <c r="K1394" s="35"/>
      <c r="L1394" s="35"/>
      <c r="M1394" s="35"/>
    </row>
    <row r="1395" spans="2:13" x14ac:dyDescent="0.35">
      <c r="B1395" s="32"/>
      <c r="C1395" s="35"/>
      <c r="D1395" s="35"/>
      <c r="E1395" s="35"/>
      <c r="F1395" s="35"/>
      <c r="G1395" s="35"/>
      <c r="H1395" s="35"/>
      <c r="I1395" s="35"/>
      <c r="J1395" s="35"/>
      <c r="K1395" s="35"/>
      <c r="L1395" s="35"/>
      <c r="M1395" s="35"/>
    </row>
    <row r="1396" spans="2:13" x14ac:dyDescent="0.35">
      <c r="B1396" s="32"/>
      <c r="C1396" s="35"/>
      <c r="D1396" s="35"/>
      <c r="E1396" s="35"/>
      <c r="F1396" s="35"/>
      <c r="G1396" s="35"/>
      <c r="H1396" s="35"/>
      <c r="I1396" s="35"/>
      <c r="J1396" s="35"/>
      <c r="K1396" s="35"/>
      <c r="L1396" s="35"/>
      <c r="M1396" s="35"/>
    </row>
    <row r="1397" spans="2:13" x14ac:dyDescent="0.35">
      <c r="B1397" s="32"/>
      <c r="C1397" s="35"/>
      <c r="D1397" s="35"/>
      <c r="E1397" s="35"/>
      <c r="F1397" s="35"/>
      <c r="G1397" s="35"/>
      <c r="H1397" s="35"/>
      <c r="I1397" s="35"/>
      <c r="J1397" s="35"/>
      <c r="K1397" s="35"/>
      <c r="L1397" s="35"/>
      <c r="M1397" s="35"/>
    </row>
    <row r="1398" spans="2:13" x14ac:dyDescent="0.35">
      <c r="B1398" s="32"/>
      <c r="C1398" s="35"/>
      <c r="D1398" s="35"/>
      <c r="E1398" s="35"/>
      <c r="F1398" s="35"/>
      <c r="G1398" s="35"/>
      <c r="H1398" s="35"/>
      <c r="I1398" s="35"/>
      <c r="J1398" s="35"/>
      <c r="K1398" s="35"/>
      <c r="L1398" s="35"/>
      <c r="M1398" s="35"/>
    </row>
    <row r="1399" spans="2:13" x14ac:dyDescent="0.35">
      <c r="B1399" s="32"/>
      <c r="C1399" s="35"/>
      <c r="D1399" s="35"/>
      <c r="E1399" s="35"/>
      <c r="F1399" s="35"/>
      <c r="G1399" s="35"/>
      <c r="H1399" s="35"/>
      <c r="I1399" s="35"/>
      <c r="J1399" s="35"/>
      <c r="K1399" s="35"/>
      <c r="L1399" s="35"/>
      <c r="M1399" s="35"/>
    </row>
    <row r="1400" spans="2:13" x14ac:dyDescent="0.35">
      <c r="B1400" s="32"/>
      <c r="C1400" s="35"/>
      <c r="D1400" s="35"/>
      <c r="E1400" s="35"/>
      <c r="F1400" s="35"/>
      <c r="G1400" s="35"/>
      <c r="H1400" s="35"/>
      <c r="I1400" s="35"/>
      <c r="J1400" s="35"/>
      <c r="K1400" s="35"/>
      <c r="L1400" s="35"/>
      <c r="M1400" s="35"/>
    </row>
    <row r="1401" spans="2:13" x14ac:dyDescent="0.35">
      <c r="B1401" s="32"/>
      <c r="C1401" s="35"/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</row>
    <row r="1402" spans="2:13" x14ac:dyDescent="0.35">
      <c r="B1402" s="32"/>
      <c r="C1402" s="35"/>
      <c r="D1402" s="35"/>
      <c r="E1402" s="35"/>
      <c r="F1402" s="35"/>
      <c r="G1402" s="35"/>
      <c r="H1402" s="35"/>
      <c r="I1402" s="35"/>
      <c r="J1402" s="35"/>
      <c r="K1402" s="35"/>
      <c r="L1402" s="35"/>
      <c r="M1402" s="35"/>
    </row>
    <row r="1403" spans="2:13" x14ac:dyDescent="0.35">
      <c r="B1403" s="32"/>
      <c r="C1403" s="35"/>
      <c r="D1403" s="35"/>
      <c r="E1403" s="35"/>
      <c r="F1403" s="35"/>
      <c r="G1403" s="35"/>
      <c r="H1403" s="35"/>
      <c r="I1403" s="35"/>
      <c r="J1403" s="35"/>
      <c r="K1403" s="35"/>
      <c r="L1403" s="35"/>
      <c r="M1403" s="35"/>
    </row>
    <row r="1404" spans="2:13" x14ac:dyDescent="0.35">
      <c r="B1404" s="32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</row>
    <row r="1405" spans="2:13" x14ac:dyDescent="0.35">
      <c r="B1405" s="32"/>
      <c r="C1405" s="35"/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</row>
    <row r="1406" spans="2:13" x14ac:dyDescent="0.35">
      <c r="B1406" s="32"/>
      <c r="C1406" s="35"/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</row>
    <row r="1407" spans="2:13" x14ac:dyDescent="0.35">
      <c r="B1407" s="32"/>
      <c r="C1407" s="35"/>
      <c r="D1407" s="35"/>
      <c r="E1407" s="35"/>
      <c r="F1407" s="35"/>
      <c r="G1407" s="35"/>
      <c r="H1407" s="35"/>
      <c r="I1407" s="35"/>
      <c r="J1407" s="35"/>
      <c r="K1407" s="35"/>
      <c r="L1407" s="35"/>
      <c r="M1407" s="35"/>
    </row>
    <row r="1408" spans="2:13" x14ac:dyDescent="0.35">
      <c r="B1408" s="32"/>
      <c r="C1408" s="35"/>
      <c r="D1408" s="35"/>
      <c r="E1408" s="35"/>
      <c r="F1408" s="35"/>
      <c r="G1408" s="35"/>
      <c r="H1408" s="35"/>
      <c r="I1408" s="35"/>
      <c r="J1408" s="35"/>
      <c r="K1408" s="35"/>
      <c r="L1408" s="35"/>
      <c r="M1408" s="35"/>
    </row>
    <row r="1409" spans="2:13" x14ac:dyDescent="0.35">
      <c r="B1409" s="32"/>
      <c r="C1409" s="35"/>
      <c r="D1409" s="35"/>
      <c r="E1409" s="35"/>
      <c r="F1409" s="35"/>
      <c r="G1409" s="35"/>
      <c r="H1409" s="35"/>
      <c r="I1409" s="35"/>
      <c r="J1409" s="35"/>
      <c r="K1409" s="35"/>
      <c r="L1409" s="35"/>
      <c r="M1409" s="35"/>
    </row>
    <row r="1410" spans="2:13" x14ac:dyDescent="0.35">
      <c r="B1410" s="32"/>
      <c r="C1410" s="35"/>
      <c r="D1410" s="35"/>
      <c r="E1410" s="35"/>
      <c r="F1410" s="35"/>
      <c r="G1410" s="35"/>
      <c r="H1410" s="35"/>
      <c r="I1410" s="35"/>
      <c r="J1410" s="35"/>
      <c r="K1410" s="35"/>
      <c r="L1410" s="35"/>
      <c r="M1410" s="35"/>
    </row>
    <row r="1411" spans="2:13" x14ac:dyDescent="0.35">
      <c r="B1411" s="32"/>
      <c r="C1411" s="35"/>
      <c r="D1411" s="35"/>
      <c r="E1411" s="35"/>
      <c r="F1411" s="35"/>
      <c r="G1411" s="35"/>
      <c r="H1411" s="35"/>
      <c r="I1411" s="35"/>
      <c r="J1411" s="35"/>
      <c r="K1411" s="35"/>
      <c r="L1411" s="35"/>
      <c r="M1411" s="35"/>
    </row>
    <row r="1412" spans="2:13" x14ac:dyDescent="0.35">
      <c r="B1412" s="32"/>
      <c r="C1412" s="35"/>
      <c r="D1412" s="35"/>
      <c r="E1412" s="35"/>
      <c r="F1412" s="35"/>
      <c r="G1412" s="35"/>
      <c r="H1412" s="35"/>
      <c r="I1412" s="35"/>
      <c r="J1412" s="35"/>
      <c r="K1412" s="35"/>
      <c r="L1412" s="35"/>
      <c r="M1412" s="35"/>
    </row>
    <row r="1413" spans="2:13" x14ac:dyDescent="0.35">
      <c r="B1413" s="32"/>
      <c r="C1413" s="35"/>
      <c r="D1413" s="35"/>
      <c r="E1413" s="35"/>
      <c r="F1413" s="35"/>
      <c r="G1413" s="35"/>
      <c r="H1413" s="35"/>
      <c r="I1413" s="35"/>
      <c r="J1413" s="35"/>
      <c r="K1413" s="35"/>
      <c r="L1413" s="35"/>
      <c r="M1413" s="35"/>
    </row>
    <row r="1414" spans="2:13" x14ac:dyDescent="0.35">
      <c r="B1414" s="32"/>
      <c r="C1414" s="35"/>
      <c r="D1414" s="35"/>
      <c r="E1414" s="35"/>
      <c r="F1414" s="35"/>
      <c r="G1414" s="35"/>
      <c r="H1414" s="35"/>
      <c r="I1414" s="35"/>
      <c r="J1414" s="35"/>
      <c r="K1414" s="35"/>
      <c r="L1414" s="35"/>
      <c r="M1414" s="35"/>
    </row>
    <row r="1415" spans="2:13" x14ac:dyDescent="0.35">
      <c r="B1415" s="32"/>
      <c r="C1415" s="35"/>
      <c r="D1415" s="35"/>
      <c r="E1415" s="35"/>
      <c r="F1415" s="35"/>
      <c r="G1415" s="35"/>
      <c r="H1415" s="35"/>
      <c r="I1415" s="35"/>
      <c r="J1415" s="35"/>
      <c r="K1415" s="35"/>
      <c r="L1415" s="35"/>
      <c r="M1415" s="35"/>
    </row>
    <row r="1416" spans="2:13" x14ac:dyDescent="0.35">
      <c r="B1416" s="32"/>
      <c r="C1416" s="35"/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</row>
    <row r="1417" spans="2:13" x14ac:dyDescent="0.35">
      <c r="B1417" s="32"/>
      <c r="C1417" s="35"/>
      <c r="D1417" s="35"/>
      <c r="E1417" s="35"/>
      <c r="F1417" s="35"/>
      <c r="G1417" s="35"/>
      <c r="H1417" s="35"/>
      <c r="I1417" s="35"/>
      <c r="J1417" s="35"/>
      <c r="K1417" s="35"/>
      <c r="L1417" s="35"/>
      <c r="M1417" s="35"/>
    </row>
    <row r="1418" spans="2:13" x14ac:dyDescent="0.35">
      <c r="B1418" s="32"/>
      <c r="C1418" s="35"/>
      <c r="D1418" s="35"/>
      <c r="E1418" s="35"/>
      <c r="F1418" s="35"/>
      <c r="G1418" s="35"/>
      <c r="H1418" s="35"/>
      <c r="I1418" s="35"/>
      <c r="J1418" s="35"/>
      <c r="K1418" s="35"/>
      <c r="L1418" s="35"/>
      <c r="M1418" s="35"/>
    </row>
    <row r="1419" spans="2:13" x14ac:dyDescent="0.35">
      <c r="B1419" s="32"/>
      <c r="C1419" s="35"/>
      <c r="D1419" s="35"/>
      <c r="E1419" s="35"/>
      <c r="F1419" s="35"/>
      <c r="G1419" s="35"/>
      <c r="H1419" s="35"/>
      <c r="I1419" s="35"/>
      <c r="J1419" s="35"/>
      <c r="K1419" s="35"/>
      <c r="L1419" s="35"/>
      <c r="M1419" s="35"/>
    </row>
    <row r="1420" spans="2:13" x14ac:dyDescent="0.35">
      <c r="B1420" s="32"/>
      <c r="C1420" s="35"/>
      <c r="D1420" s="35"/>
      <c r="E1420" s="35"/>
      <c r="F1420" s="35"/>
      <c r="G1420" s="35"/>
      <c r="H1420" s="35"/>
      <c r="I1420" s="35"/>
      <c r="J1420" s="35"/>
      <c r="K1420" s="35"/>
      <c r="L1420" s="35"/>
      <c r="M1420" s="35"/>
    </row>
    <row r="1421" spans="2:13" x14ac:dyDescent="0.35">
      <c r="B1421" s="32"/>
      <c r="C1421" s="35"/>
      <c r="D1421" s="35"/>
      <c r="E1421" s="35"/>
      <c r="F1421" s="35"/>
      <c r="G1421" s="35"/>
      <c r="H1421" s="35"/>
      <c r="I1421" s="35"/>
      <c r="J1421" s="35"/>
      <c r="K1421" s="35"/>
      <c r="L1421" s="35"/>
      <c r="M1421" s="35"/>
    </row>
    <row r="1422" spans="2:13" x14ac:dyDescent="0.35">
      <c r="B1422" s="32"/>
      <c r="C1422" s="35"/>
      <c r="D1422" s="35"/>
      <c r="E1422" s="35"/>
      <c r="F1422" s="35"/>
      <c r="G1422" s="35"/>
      <c r="H1422" s="35"/>
      <c r="I1422" s="35"/>
      <c r="J1422" s="35"/>
      <c r="K1422" s="35"/>
      <c r="L1422" s="35"/>
      <c r="M1422" s="35"/>
    </row>
    <row r="1423" spans="2:13" x14ac:dyDescent="0.35">
      <c r="B1423" s="32"/>
      <c r="C1423" s="35"/>
      <c r="D1423" s="35"/>
      <c r="E1423" s="35"/>
      <c r="F1423" s="35"/>
      <c r="G1423" s="35"/>
      <c r="H1423" s="35"/>
      <c r="I1423" s="35"/>
      <c r="J1423" s="35"/>
      <c r="K1423" s="35"/>
      <c r="L1423" s="35"/>
      <c r="M1423" s="35"/>
    </row>
    <row r="1424" spans="2:13" x14ac:dyDescent="0.35">
      <c r="B1424" s="32"/>
      <c r="C1424" s="35"/>
      <c r="D1424" s="35"/>
      <c r="E1424" s="35"/>
      <c r="F1424" s="35"/>
      <c r="G1424" s="35"/>
      <c r="H1424" s="35"/>
      <c r="I1424" s="35"/>
      <c r="J1424" s="35"/>
      <c r="K1424" s="35"/>
      <c r="L1424" s="35"/>
      <c r="M1424" s="35"/>
    </row>
    <row r="1425" spans="2:13" x14ac:dyDescent="0.35">
      <c r="B1425" s="32"/>
      <c r="C1425" s="35"/>
      <c r="D1425" s="35"/>
      <c r="E1425" s="35"/>
      <c r="F1425" s="35"/>
      <c r="G1425" s="35"/>
      <c r="H1425" s="35"/>
      <c r="I1425" s="35"/>
      <c r="J1425" s="35"/>
      <c r="K1425" s="35"/>
      <c r="L1425" s="35"/>
      <c r="M1425" s="35"/>
    </row>
    <row r="1426" spans="2:13" x14ac:dyDescent="0.35">
      <c r="B1426" s="32"/>
      <c r="C1426" s="35"/>
      <c r="D1426" s="35"/>
      <c r="E1426" s="35"/>
      <c r="F1426" s="35"/>
      <c r="G1426" s="35"/>
      <c r="H1426" s="35"/>
      <c r="I1426" s="35"/>
      <c r="J1426" s="35"/>
      <c r="K1426" s="35"/>
      <c r="L1426" s="35"/>
      <c r="M1426" s="35"/>
    </row>
    <row r="1427" spans="2:13" x14ac:dyDescent="0.35">
      <c r="B1427" s="32"/>
      <c r="C1427" s="35"/>
      <c r="D1427" s="35"/>
      <c r="E1427" s="35"/>
      <c r="F1427" s="35"/>
      <c r="G1427" s="35"/>
      <c r="H1427" s="35"/>
      <c r="I1427" s="35"/>
      <c r="J1427" s="35"/>
      <c r="K1427" s="35"/>
      <c r="L1427" s="35"/>
      <c r="M1427" s="35"/>
    </row>
    <row r="1428" spans="2:13" x14ac:dyDescent="0.35">
      <c r="B1428" s="32"/>
      <c r="C1428" s="35"/>
      <c r="D1428" s="35"/>
      <c r="E1428" s="35"/>
      <c r="F1428" s="35"/>
      <c r="G1428" s="35"/>
      <c r="H1428" s="35"/>
      <c r="I1428" s="35"/>
      <c r="J1428" s="35"/>
      <c r="K1428" s="35"/>
      <c r="L1428" s="35"/>
      <c r="M1428" s="35"/>
    </row>
    <row r="1429" spans="2:13" x14ac:dyDescent="0.35">
      <c r="B1429" s="32"/>
      <c r="C1429" s="35"/>
      <c r="D1429" s="35"/>
      <c r="E1429" s="35"/>
      <c r="F1429" s="35"/>
      <c r="G1429" s="35"/>
      <c r="H1429" s="35"/>
      <c r="I1429" s="35"/>
      <c r="J1429" s="35"/>
      <c r="K1429" s="35"/>
      <c r="L1429" s="35"/>
      <c r="M1429" s="35"/>
    </row>
    <row r="1430" spans="2:13" x14ac:dyDescent="0.35">
      <c r="B1430" s="32"/>
      <c r="C1430" s="35"/>
      <c r="D1430" s="35"/>
      <c r="E1430" s="35"/>
      <c r="F1430" s="35"/>
      <c r="G1430" s="35"/>
      <c r="H1430" s="35"/>
      <c r="I1430" s="35"/>
      <c r="J1430" s="35"/>
      <c r="K1430" s="35"/>
      <c r="L1430" s="35"/>
      <c r="M1430" s="35"/>
    </row>
    <row r="1431" spans="2:13" x14ac:dyDescent="0.35">
      <c r="B1431" s="32"/>
      <c r="C1431" s="35"/>
      <c r="D1431" s="35"/>
      <c r="E1431" s="35"/>
      <c r="F1431" s="35"/>
      <c r="G1431" s="35"/>
      <c r="H1431" s="35"/>
      <c r="I1431" s="35"/>
      <c r="J1431" s="35"/>
      <c r="K1431" s="35"/>
      <c r="L1431" s="35"/>
      <c r="M1431" s="35"/>
    </row>
    <row r="1432" spans="2:13" x14ac:dyDescent="0.35">
      <c r="B1432" s="32"/>
      <c r="C1432" s="35"/>
      <c r="D1432" s="35"/>
      <c r="E1432" s="35"/>
      <c r="F1432" s="35"/>
      <c r="G1432" s="35"/>
      <c r="H1432" s="35"/>
      <c r="I1432" s="35"/>
      <c r="J1432" s="35"/>
      <c r="K1432" s="35"/>
      <c r="L1432" s="35"/>
      <c r="M1432" s="35"/>
    </row>
    <row r="1433" spans="2:13" x14ac:dyDescent="0.35">
      <c r="B1433" s="32"/>
      <c r="C1433" s="35"/>
      <c r="D1433" s="35"/>
      <c r="E1433" s="35"/>
      <c r="F1433" s="35"/>
      <c r="G1433" s="35"/>
      <c r="H1433" s="35"/>
      <c r="I1433" s="35"/>
      <c r="J1433" s="35"/>
      <c r="K1433" s="35"/>
      <c r="L1433" s="35"/>
      <c r="M1433" s="35"/>
    </row>
    <row r="1434" spans="2:13" x14ac:dyDescent="0.35">
      <c r="B1434" s="32"/>
      <c r="C1434" s="35"/>
      <c r="D1434" s="35"/>
      <c r="E1434" s="35"/>
      <c r="F1434" s="35"/>
      <c r="G1434" s="35"/>
      <c r="H1434" s="35"/>
      <c r="I1434" s="35"/>
      <c r="J1434" s="35"/>
      <c r="K1434" s="35"/>
      <c r="L1434" s="35"/>
      <c r="M1434" s="35"/>
    </row>
    <row r="1435" spans="2:13" x14ac:dyDescent="0.35">
      <c r="B1435" s="32"/>
      <c r="C1435" s="35"/>
      <c r="D1435" s="35"/>
      <c r="E1435" s="35"/>
      <c r="F1435" s="35"/>
      <c r="G1435" s="35"/>
      <c r="H1435" s="35"/>
      <c r="I1435" s="35"/>
      <c r="J1435" s="35"/>
      <c r="K1435" s="35"/>
      <c r="L1435" s="35"/>
      <c r="M1435" s="35"/>
    </row>
    <row r="1436" spans="2:13" x14ac:dyDescent="0.35">
      <c r="B1436" s="32"/>
      <c r="C1436" s="35"/>
      <c r="D1436" s="35"/>
      <c r="E1436" s="35"/>
      <c r="F1436" s="35"/>
      <c r="G1436" s="35"/>
      <c r="H1436" s="35"/>
      <c r="I1436" s="35"/>
      <c r="J1436" s="35"/>
      <c r="K1436" s="35"/>
      <c r="L1436" s="35"/>
      <c r="M1436" s="35"/>
    </row>
    <row r="1437" spans="2:13" x14ac:dyDescent="0.35">
      <c r="B1437" s="32"/>
      <c r="C1437" s="35"/>
      <c r="D1437" s="35"/>
      <c r="E1437" s="35"/>
      <c r="F1437" s="35"/>
      <c r="G1437" s="35"/>
      <c r="H1437" s="35"/>
      <c r="I1437" s="35"/>
      <c r="J1437" s="35"/>
      <c r="K1437" s="35"/>
      <c r="L1437" s="35"/>
      <c r="M1437" s="35"/>
    </row>
    <row r="1438" spans="2:13" x14ac:dyDescent="0.35">
      <c r="B1438" s="32"/>
      <c r="C1438" s="35"/>
      <c r="D1438" s="35"/>
      <c r="E1438" s="35"/>
      <c r="F1438" s="35"/>
      <c r="G1438" s="35"/>
      <c r="H1438" s="35"/>
      <c r="I1438" s="35"/>
      <c r="J1438" s="35"/>
      <c r="K1438" s="35"/>
      <c r="L1438" s="35"/>
      <c r="M1438" s="35"/>
    </row>
    <row r="1439" spans="2:13" x14ac:dyDescent="0.35">
      <c r="B1439" s="32"/>
      <c r="C1439" s="35"/>
      <c r="D1439" s="35"/>
      <c r="E1439" s="35"/>
      <c r="F1439" s="35"/>
      <c r="G1439" s="35"/>
      <c r="H1439" s="35"/>
      <c r="I1439" s="35"/>
      <c r="J1439" s="35"/>
      <c r="K1439" s="35"/>
      <c r="L1439" s="35"/>
      <c r="M1439" s="35"/>
    </row>
    <row r="1440" spans="2:13" x14ac:dyDescent="0.35">
      <c r="B1440" s="32"/>
      <c r="C1440" s="35"/>
      <c r="D1440" s="35"/>
      <c r="E1440" s="35"/>
      <c r="F1440" s="35"/>
      <c r="G1440" s="35"/>
      <c r="H1440" s="35"/>
      <c r="I1440" s="35"/>
      <c r="J1440" s="35"/>
      <c r="K1440" s="35"/>
      <c r="L1440" s="35"/>
      <c r="M1440" s="35"/>
    </row>
    <row r="1441" spans="2:13" x14ac:dyDescent="0.35">
      <c r="B1441" s="32"/>
      <c r="C1441" s="35"/>
      <c r="D1441" s="35"/>
      <c r="E1441" s="35"/>
      <c r="F1441" s="35"/>
      <c r="G1441" s="35"/>
      <c r="H1441" s="35"/>
      <c r="I1441" s="35"/>
      <c r="J1441" s="35"/>
      <c r="K1441" s="35"/>
      <c r="L1441" s="35"/>
      <c r="M1441" s="35"/>
    </row>
    <row r="1442" spans="2:13" x14ac:dyDescent="0.35">
      <c r="B1442" s="32"/>
      <c r="C1442" s="35"/>
      <c r="D1442" s="35"/>
      <c r="E1442" s="35"/>
      <c r="F1442" s="35"/>
      <c r="G1442" s="35"/>
      <c r="H1442" s="35"/>
      <c r="I1442" s="35"/>
      <c r="J1442" s="35"/>
      <c r="K1442" s="35"/>
      <c r="L1442" s="35"/>
      <c r="M1442" s="35"/>
    </row>
    <row r="1443" spans="2:13" x14ac:dyDescent="0.35">
      <c r="B1443" s="32"/>
      <c r="C1443" s="35"/>
      <c r="D1443" s="35"/>
      <c r="E1443" s="35"/>
      <c r="F1443" s="35"/>
      <c r="G1443" s="35"/>
      <c r="H1443" s="35"/>
      <c r="I1443" s="35"/>
      <c r="J1443" s="35"/>
      <c r="K1443" s="35"/>
      <c r="L1443" s="35"/>
      <c r="M1443" s="35"/>
    </row>
    <row r="1444" spans="2:13" x14ac:dyDescent="0.35">
      <c r="B1444" s="32"/>
      <c r="C1444" s="35"/>
      <c r="D1444" s="35"/>
      <c r="E1444" s="35"/>
      <c r="F1444" s="35"/>
      <c r="G1444" s="35"/>
      <c r="H1444" s="35"/>
      <c r="I1444" s="35"/>
      <c r="J1444" s="35"/>
      <c r="K1444" s="35"/>
      <c r="L1444" s="35"/>
      <c r="M1444" s="35"/>
    </row>
    <row r="1445" spans="2:13" x14ac:dyDescent="0.35">
      <c r="B1445" s="32"/>
      <c r="C1445" s="35"/>
      <c r="D1445" s="35"/>
      <c r="E1445" s="35"/>
      <c r="F1445" s="35"/>
      <c r="G1445" s="35"/>
      <c r="H1445" s="35"/>
      <c r="I1445" s="35"/>
      <c r="J1445" s="35"/>
      <c r="K1445" s="35"/>
      <c r="L1445" s="35"/>
      <c r="M1445" s="35"/>
    </row>
    <row r="1446" spans="2:13" x14ac:dyDescent="0.35">
      <c r="B1446" s="32"/>
      <c r="C1446" s="35"/>
      <c r="D1446" s="35"/>
      <c r="E1446" s="35"/>
      <c r="F1446" s="35"/>
      <c r="G1446" s="35"/>
      <c r="H1446" s="35"/>
      <c r="I1446" s="35"/>
      <c r="J1446" s="35"/>
      <c r="K1446" s="35"/>
      <c r="L1446" s="35"/>
      <c r="M1446" s="35"/>
    </row>
    <row r="1447" spans="2:13" x14ac:dyDescent="0.35">
      <c r="B1447" s="32"/>
      <c r="C1447" s="35"/>
      <c r="D1447" s="35"/>
      <c r="E1447" s="35"/>
      <c r="F1447" s="35"/>
      <c r="G1447" s="35"/>
      <c r="H1447" s="35"/>
      <c r="I1447" s="35"/>
      <c r="J1447" s="35"/>
      <c r="K1447" s="35"/>
      <c r="L1447" s="35"/>
      <c r="M1447" s="35"/>
    </row>
    <row r="1448" spans="2:13" x14ac:dyDescent="0.35">
      <c r="B1448" s="32"/>
      <c r="C1448" s="35"/>
      <c r="D1448" s="35"/>
      <c r="E1448" s="35"/>
      <c r="F1448" s="35"/>
      <c r="G1448" s="35"/>
      <c r="H1448" s="35"/>
      <c r="I1448" s="35"/>
      <c r="J1448" s="35"/>
      <c r="K1448" s="35"/>
      <c r="L1448" s="35"/>
      <c r="M1448" s="35"/>
    </row>
    <row r="1449" spans="2:13" x14ac:dyDescent="0.35">
      <c r="B1449" s="32"/>
      <c r="C1449" s="35"/>
      <c r="D1449" s="35"/>
      <c r="E1449" s="35"/>
      <c r="F1449" s="35"/>
      <c r="G1449" s="35"/>
      <c r="H1449" s="35"/>
      <c r="I1449" s="35"/>
      <c r="J1449" s="35"/>
      <c r="K1449" s="35"/>
      <c r="L1449" s="35"/>
      <c r="M1449" s="35"/>
    </row>
    <row r="1450" spans="2:13" x14ac:dyDescent="0.35">
      <c r="B1450" s="32"/>
      <c r="C1450" s="35"/>
      <c r="D1450" s="35"/>
      <c r="E1450" s="35"/>
      <c r="F1450" s="35"/>
      <c r="G1450" s="35"/>
      <c r="H1450" s="35"/>
      <c r="I1450" s="35"/>
      <c r="J1450" s="35"/>
      <c r="K1450" s="35"/>
      <c r="L1450" s="35"/>
      <c r="M1450" s="35"/>
    </row>
    <row r="1451" spans="2:13" x14ac:dyDescent="0.35">
      <c r="B1451" s="32"/>
      <c r="C1451" s="35"/>
      <c r="D1451" s="35"/>
      <c r="E1451" s="35"/>
      <c r="F1451" s="35"/>
      <c r="G1451" s="35"/>
      <c r="H1451" s="35"/>
      <c r="I1451" s="35"/>
      <c r="J1451" s="35"/>
      <c r="K1451" s="35"/>
      <c r="L1451" s="35"/>
      <c r="M1451" s="35"/>
    </row>
    <row r="1452" spans="2:13" x14ac:dyDescent="0.35">
      <c r="B1452" s="32"/>
      <c r="C1452" s="35"/>
      <c r="D1452" s="35"/>
      <c r="E1452" s="35"/>
      <c r="F1452" s="35"/>
      <c r="G1452" s="35"/>
      <c r="H1452" s="35"/>
      <c r="I1452" s="35"/>
      <c r="J1452" s="35"/>
      <c r="K1452" s="35"/>
      <c r="L1452" s="35"/>
      <c r="M1452" s="35"/>
    </row>
    <row r="1453" spans="2:13" x14ac:dyDescent="0.35">
      <c r="B1453" s="32"/>
      <c r="C1453" s="35"/>
      <c r="D1453" s="35"/>
      <c r="E1453" s="35"/>
      <c r="F1453" s="35"/>
      <c r="G1453" s="35"/>
      <c r="H1453" s="35"/>
      <c r="I1453" s="35"/>
      <c r="J1453" s="35"/>
      <c r="K1453" s="35"/>
      <c r="L1453" s="35"/>
      <c r="M1453" s="35"/>
    </row>
    <row r="1454" spans="2:13" x14ac:dyDescent="0.35">
      <c r="B1454" s="32"/>
      <c r="C1454" s="35"/>
      <c r="D1454" s="35"/>
      <c r="E1454" s="35"/>
      <c r="F1454" s="35"/>
      <c r="G1454" s="35"/>
      <c r="H1454" s="35"/>
      <c r="I1454" s="35"/>
      <c r="J1454" s="35"/>
      <c r="K1454" s="35"/>
      <c r="L1454" s="35"/>
      <c r="M1454" s="35"/>
    </row>
    <row r="1455" spans="2:13" x14ac:dyDescent="0.35">
      <c r="B1455" s="32"/>
      <c r="C1455" s="35"/>
      <c r="D1455" s="35"/>
      <c r="E1455" s="35"/>
      <c r="F1455" s="35"/>
      <c r="G1455" s="35"/>
      <c r="H1455" s="35"/>
      <c r="I1455" s="35"/>
      <c r="J1455" s="35"/>
      <c r="K1455" s="35"/>
      <c r="L1455" s="35"/>
      <c r="M1455" s="35"/>
    </row>
    <row r="1456" spans="2:13" x14ac:dyDescent="0.35">
      <c r="B1456" s="32"/>
      <c r="C1456" s="35"/>
      <c r="D1456" s="35"/>
      <c r="E1456" s="35"/>
      <c r="F1456" s="35"/>
      <c r="G1456" s="35"/>
      <c r="H1456" s="35"/>
      <c r="I1456" s="35"/>
      <c r="J1456" s="35"/>
      <c r="K1456" s="35"/>
      <c r="L1456" s="35"/>
      <c r="M1456" s="35"/>
    </row>
    <row r="1457" spans="2:13" x14ac:dyDescent="0.35">
      <c r="B1457" s="32"/>
      <c r="C1457" s="35"/>
      <c r="D1457" s="35"/>
      <c r="E1457" s="35"/>
      <c r="F1457" s="35"/>
      <c r="G1457" s="35"/>
      <c r="H1457" s="35"/>
      <c r="I1457" s="35"/>
      <c r="J1457" s="35"/>
      <c r="K1457" s="35"/>
      <c r="L1457" s="35"/>
      <c r="M1457" s="35"/>
    </row>
    <row r="1458" spans="2:13" x14ac:dyDescent="0.35">
      <c r="B1458" s="32"/>
      <c r="C1458" s="35"/>
      <c r="D1458" s="35"/>
      <c r="E1458" s="35"/>
      <c r="F1458" s="35"/>
      <c r="G1458" s="35"/>
      <c r="H1458" s="35"/>
      <c r="I1458" s="35"/>
      <c r="J1458" s="35"/>
      <c r="K1458" s="35"/>
      <c r="L1458" s="35"/>
      <c r="M1458" s="35"/>
    </row>
    <row r="1459" spans="2:13" x14ac:dyDescent="0.35">
      <c r="B1459" s="32"/>
      <c r="C1459" s="35"/>
      <c r="D1459" s="35"/>
      <c r="E1459" s="35"/>
      <c r="F1459" s="35"/>
      <c r="G1459" s="35"/>
      <c r="H1459" s="35"/>
      <c r="I1459" s="35"/>
      <c r="J1459" s="35"/>
      <c r="K1459" s="35"/>
      <c r="L1459" s="35"/>
      <c r="M1459" s="35"/>
    </row>
    <row r="1460" spans="2:13" x14ac:dyDescent="0.35">
      <c r="B1460" s="32"/>
      <c r="C1460" s="35"/>
      <c r="D1460" s="35"/>
      <c r="E1460" s="35"/>
      <c r="F1460" s="35"/>
      <c r="G1460" s="35"/>
      <c r="H1460" s="35"/>
      <c r="I1460" s="35"/>
      <c r="J1460" s="35"/>
      <c r="K1460" s="35"/>
      <c r="L1460" s="35"/>
      <c r="M1460" s="35"/>
    </row>
    <row r="1461" spans="2:13" x14ac:dyDescent="0.35">
      <c r="B1461" s="32"/>
      <c r="C1461" s="35"/>
      <c r="D1461" s="35"/>
      <c r="E1461" s="35"/>
      <c r="F1461" s="35"/>
      <c r="G1461" s="35"/>
      <c r="H1461" s="35"/>
      <c r="I1461" s="35"/>
      <c r="J1461" s="35"/>
      <c r="K1461" s="35"/>
      <c r="L1461" s="35"/>
      <c r="M1461" s="35"/>
    </row>
    <row r="1462" spans="2:13" x14ac:dyDescent="0.35">
      <c r="B1462" s="32"/>
      <c r="C1462" s="35"/>
      <c r="D1462" s="35"/>
      <c r="E1462" s="35"/>
      <c r="F1462" s="35"/>
      <c r="G1462" s="35"/>
      <c r="H1462" s="35"/>
      <c r="I1462" s="35"/>
      <c r="J1462" s="35"/>
      <c r="K1462" s="35"/>
      <c r="L1462" s="35"/>
      <c r="M1462" s="35"/>
    </row>
    <row r="1463" spans="2:13" x14ac:dyDescent="0.35">
      <c r="B1463" s="32"/>
      <c r="C1463" s="35"/>
      <c r="D1463" s="35"/>
      <c r="E1463" s="35"/>
      <c r="F1463" s="35"/>
      <c r="G1463" s="35"/>
      <c r="H1463" s="35"/>
      <c r="I1463" s="35"/>
      <c r="J1463" s="35"/>
      <c r="K1463" s="35"/>
      <c r="L1463" s="35"/>
      <c r="M1463" s="35"/>
    </row>
    <row r="1464" spans="2:13" x14ac:dyDescent="0.35">
      <c r="B1464" s="32"/>
      <c r="C1464" s="35"/>
      <c r="D1464" s="35"/>
      <c r="E1464" s="35"/>
      <c r="F1464" s="35"/>
      <c r="G1464" s="35"/>
      <c r="H1464" s="35"/>
      <c r="I1464" s="35"/>
      <c r="J1464" s="35"/>
      <c r="K1464" s="35"/>
      <c r="L1464" s="35"/>
      <c r="M1464" s="35"/>
    </row>
    <row r="1465" spans="2:13" x14ac:dyDescent="0.35">
      <c r="B1465" s="32"/>
      <c r="C1465" s="35"/>
      <c r="D1465" s="35"/>
      <c r="E1465" s="35"/>
      <c r="F1465" s="35"/>
      <c r="G1465" s="35"/>
      <c r="H1465" s="35"/>
      <c r="I1465" s="35"/>
      <c r="J1465" s="35"/>
      <c r="K1465" s="35"/>
      <c r="L1465" s="35"/>
      <c r="M1465" s="35"/>
    </row>
    <row r="1466" spans="2:13" x14ac:dyDescent="0.35">
      <c r="B1466" s="32"/>
      <c r="C1466" s="35"/>
      <c r="D1466" s="35"/>
      <c r="E1466" s="35"/>
      <c r="F1466" s="35"/>
      <c r="G1466" s="35"/>
      <c r="H1466" s="35"/>
      <c r="I1466" s="35"/>
      <c r="J1466" s="35"/>
      <c r="K1466" s="35"/>
      <c r="L1466" s="35"/>
      <c r="M1466" s="35"/>
    </row>
    <row r="1467" spans="2:13" x14ac:dyDescent="0.35">
      <c r="B1467" s="32"/>
      <c r="C1467" s="35"/>
      <c r="D1467" s="35"/>
      <c r="E1467" s="35"/>
      <c r="F1467" s="35"/>
      <c r="G1467" s="35"/>
      <c r="H1467" s="35"/>
      <c r="I1467" s="35"/>
      <c r="J1467" s="35"/>
      <c r="K1467" s="35"/>
      <c r="L1467" s="35"/>
      <c r="M1467" s="35"/>
    </row>
    <row r="1468" spans="2:13" x14ac:dyDescent="0.35">
      <c r="B1468" s="32"/>
      <c r="C1468" s="35"/>
      <c r="D1468" s="35"/>
      <c r="E1468" s="35"/>
      <c r="F1468" s="35"/>
      <c r="G1468" s="35"/>
      <c r="H1468" s="35"/>
      <c r="I1468" s="35"/>
      <c r="J1468" s="35"/>
      <c r="K1468" s="35"/>
      <c r="L1468" s="35"/>
      <c r="M1468" s="35"/>
    </row>
    <row r="1469" spans="2:13" x14ac:dyDescent="0.35">
      <c r="B1469" s="32"/>
      <c r="C1469" s="35"/>
      <c r="D1469" s="35"/>
      <c r="E1469" s="35"/>
      <c r="F1469" s="35"/>
      <c r="G1469" s="35"/>
      <c r="H1469" s="35"/>
      <c r="I1469" s="35"/>
      <c r="J1469" s="35"/>
      <c r="K1469" s="35"/>
      <c r="L1469" s="35"/>
      <c r="M1469" s="35"/>
    </row>
    <row r="1470" spans="2:13" x14ac:dyDescent="0.35">
      <c r="B1470" s="32"/>
      <c r="C1470" s="35"/>
      <c r="D1470" s="35"/>
      <c r="E1470" s="35"/>
      <c r="F1470" s="35"/>
      <c r="G1470" s="35"/>
      <c r="H1470" s="35"/>
      <c r="I1470" s="35"/>
      <c r="J1470" s="35"/>
      <c r="K1470" s="35"/>
      <c r="L1470" s="35"/>
      <c r="M1470" s="35"/>
    </row>
    <row r="1471" spans="2:13" x14ac:dyDescent="0.35">
      <c r="B1471" s="32"/>
      <c r="C1471" s="35"/>
      <c r="D1471" s="35"/>
      <c r="E1471" s="35"/>
      <c r="F1471" s="35"/>
      <c r="G1471" s="35"/>
      <c r="H1471" s="35"/>
      <c r="I1471" s="35"/>
      <c r="J1471" s="35"/>
      <c r="K1471" s="35"/>
      <c r="L1471" s="35"/>
      <c r="M1471" s="35"/>
    </row>
    <row r="1472" spans="2:13" x14ac:dyDescent="0.35">
      <c r="B1472" s="32"/>
      <c r="C1472" s="35"/>
      <c r="D1472" s="35"/>
      <c r="E1472" s="35"/>
      <c r="F1472" s="35"/>
      <c r="G1472" s="35"/>
      <c r="H1472" s="35"/>
      <c r="I1472" s="35"/>
      <c r="J1472" s="35"/>
      <c r="K1472" s="35"/>
      <c r="L1472" s="35"/>
      <c r="M1472" s="35"/>
    </row>
    <row r="1473" spans="2:13" x14ac:dyDescent="0.35">
      <c r="B1473" s="32"/>
      <c r="C1473" s="35"/>
      <c r="D1473" s="35"/>
      <c r="E1473" s="35"/>
      <c r="F1473" s="35"/>
      <c r="G1473" s="35"/>
      <c r="H1473" s="35"/>
      <c r="I1473" s="35"/>
      <c r="J1473" s="35"/>
      <c r="K1473" s="35"/>
      <c r="L1473" s="35"/>
      <c r="M1473" s="35"/>
    </row>
    <row r="1474" spans="2:13" x14ac:dyDescent="0.35">
      <c r="B1474" s="32"/>
      <c r="C1474" s="35"/>
      <c r="D1474" s="35"/>
      <c r="E1474" s="35"/>
      <c r="F1474" s="35"/>
      <c r="G1474" s="35"/>
      <c r="H1474" s="35"/>
      <c r="I1474" s="35"/>
      <c r="J1474" s="35"/>
      <c r="K1474" s="35"/>
      <c r="L1474" s="35"/>
      <c r="M1474" s="35"/>
    </row>
    <row r="1475" spans="2:13" x14ac:dyDescent="0.35">
      <c r="B1475" s="32"/>
      <c r="C1475" s="35"/>
      <c r="D1475" s="35"/>
      <c r="E1475" s="35"/>
      <c r="F1475" s="35"/>
      <c r="G1475" s="35"/>
      <c r="H1475" s="35"/>
      <c r="I1475" s="35"/>
      <c r="J1475" s="35"/>
      <c r="K1475" s="35"/>
      <c r="L1475" s="35"/>
      <c r="M1475" s="35"/>
    </row>
    <row r="1476" spans="2:13" x14ac:dyDescent="0.35">
      <c r="B1476" s="32"/>
      <c r="C1476" s="35"/>
      <c r="D1476" s="35"/>
      <c r="E1476" s="35"/>
      <c r="F1476" s="35"/>
      <c r="G1476" s="35"/>
      <c r="H1476" s="35"/>
      <c r="I1476" s="35"/>
      <c r="J1476" s="35"/>
      <c r="K1476" s="35"/>
      <c r="L1476" s="35"/>
      <c r="M1476" s="35"/>
    </row>
    <row r="1477" spans="2:13" x14ac:dyDescent="0.35">
      <c r="B1477" s="32"/>
      <c r="C1477" s="35"/>
      <c r="D1477" s="35"/>
      <c r="E1477" s="35"/>
      <c r="F1477" s="35"/>
      <c r="G1477" s="35"/>
      <c r="H1477" s="35"/>
      <c r="I1477" s="35"/>
      <c r="J1477" s="35"/>
      <c r="K1477" s="35"/>
      <c r="L1477" s="35"/>
      <c r="M1477" s="35"/>
    </row>
    <row r="1478" spans="2:13" x14ac:dyDescent="0.35">
      <c r="B1478" s="32"/>
      <c r="C1478" s="35"/>
      <c r="D1478" s="35"/>
      <c r="E1478" s="35"/>
      <c r="F1478" s="35"/>
      <c r="G1478" s="35"/>
      <c r="H1478" s="35"/>
      <c r="I1478" s="35"/>
      <c r="J1478" s="35"/>
      <c r="K1478" s="35"/>
      <c r="L1478" s="35"/>
      <c r="M1478" s="35"/>
    </row>
    <row r="1479" spans="2:13" x14ac:dyDescent="0.35">
      <c r="B1479" s="32"/>
      <c r="C1479" s="35"/>
      <c r="D1479" s="35"/>
      <c r="E1479" s="35"/>
      <c r="F1479" s="35"/>
      <c r="G1479" s="35"/>
      <c r="H1479" s="35"/>
      <c r="I1479" s="35"/>
      <c r="J1479" s="35"/>
      <c r="K1479" s="35"/>
      <c r="L1479" s="35"/>
      <c r="M1479" s="35"/>
    </row>
    <row r="1480" spans="2:13" x14ac:dyDescent="0.35">
      <c r="B1480" s="32"/>
      <c r="C1480" s="35"/>
      <c r="D1480" s="35"/>
      <c r="E1480" s="35"/>
      <c r="F1480" s="35"/>
      <c r="G1480" s="35"/>
      <c r="H1480" s="35"/>
      <c r="I1480" s="35"/>
      <c r="J1480" s="35"/>
      <c r="K1480" s="35"/>
      <c r="L1480" s="35"/>
      <c r="M1480" s="35"/>
    </row>
    <row r="1481" spans="2:13" x14ac:dyDescent="0.35">
      <c r="B1481" s="32"/>
      <c r="C1481" s="35"/>
      <c r="D1481" s="35"/>
      <c r="E1481" s="35"/>
      <c r="F1481" s="35"/>
      <c r="G1481" s="35"/>
      <c r="H1481" s="35"/>
      <c r="I1481" s="35"/>
      <c r="J1481" s="35"/>
      <c r="K1481" s="35"/>
      <c r="L1481" s="35"/>
      <c r="M1481" s="35"/>
    </row>
    <row r="1482" spans="2:13" x14ac:dyDescent="0.35">
      <c r="B1482" s="32"/>
      <c r="C1482" s="35"/>
      <c r="D1482" s="35"/>
      <c r="E1482" s="35"/>
      <c r="F1482" s="35"/>
      <c r="G1482" s="35"/>
      <c r="H1482" s="35"/>
      <c r="I1482" s="35"/>
      <c r="J1482" s="35"/>
      <c r="K1482" s="35"/>
      <c r="L1482" s="35"/>
      <c r="M1482" s="35"/>
    </row>
    <row r="1483" spans="2:13" x14ac:dyDescent="0.35">
      <c r="B1483" s="32"/>
      <c r="C1483" s="35"/>
      <c r="D1483" s="35"/>
      <c r="E1483" s="35"/>
      <c r="F1483" s="35"/>
      <c r="G1483" s="35"/>
      <c r="H1483" s="35"/>
      <c r="I1483" s="35"/>
      <c r="J1483" s="35"/>
      <c r="K1483" s="35"/>
      <c r="L1483" s="35"/>
      <c r="M1483" s="35"/>
    </row>
    <row r="1484" spans="2:13" x14ac:dyDescent="0.35">
      <c r="B1484" s="32"/>
      <c r="C1484" s="35"/>
      <c r="D1484" s="35"/>
      <c r="E1484" s="35"/>
      <c r="F1484" s="35"/>
      <c r="G1484" s="35"/>
      <c r="H1484" s="35"/>
      <c r="I1484" s="35"/>
      <c r="J1484" s="35"/>
      <c r="K1484" s="35"/>
      <c r="L1484" s="35"/>
      <c r="M1484" s="35"/>
    </row>
    <row r="1485" spans="2:13" x14ac:dyDescent="0.35">
      <c r="B1485" s="32"/>
      <c r="C1485" s="35"/>
      <c r="D1485" s="35"/>
      <c r="E1485" s="35"/>
      <c r="F1485" s="35"/>
      <c r="G1485" s="35"/>
      <c r="H1485" s="35"/>
      <c r="I1485" s="35"/>
      <c r="J1485" s="35"/>
      <c r="K1485" s="35"/>
      <c r="L1485" s="35"/>
      <c r="M1485" s="35"/>
    </row>
    <row r="1486" spans="2:13" x14ac:dyDescent="0.35">
      <c r="B1486" s="32"/>
      <c r="C1486" s="35"/>
      <c r="D1486" s="35"/>
      <c r="E1486" s="35"/>
      <c r="F1486" s="35"/>
      <c r="G1486" s="35"/>
      <c r="H1486" s="35"/>
      <c r="I1486" s="35"/>
      <c r="J1486" s="35"/>
      <c r="K1486" s="35"/>
      <c r="L1486" s="35"/>
      <c r="M1486" s="35"/>
    </row>
    <row r="1487" spans="2:13" x14ac:dyDescent="0.35">
      <c r="B1487" s="32"/>
      <c r="C1487" s="35"/>
      <c r="D1487" s="35"/>
      <c r="E1487" s="35"/>
      <c r="F1487" s="35"/>
      <c r="G1487" s="35"/>
      <c r="H1487" s="35"/>
      <c r="I1487" s="35"/>
      <c r="J1487" s="35"/>
      <c r="K1487" s="35"/>
      <c r="L1487" s="35"/>
      <c r="M1487" s="35"/>
    </row>
    <row r="1488" spans="2:13" x14ac:dyDescent="0.35">
      <c r="B1488" s="32"/>
      <c r="C1488" s="35"/>
      <c r="D1488" s="35"/>
      <c r="E1488" s="35"/>
      <c r="F1488" s="35"/>
      <c r="G1488" s="35"/>
      <c r="H1488" s="35"/>
      <c r="I1488" s="35"/>
      <c r="J1488" s="35"/>
      <c r="K1488" s="35"/>
      <c r="L1488" s="35"/>
      <c r="M1488" s="35"/>
    </row>
    <row r="1489" spans="2:13" x14ac:dyDescent="0.35">
      <c r="B1489" s="32"/>
      <c r="C1489" s="35"/>
      <c r="D1489" s="35"/>
      <c r="E1489" s="35"/>
      <c r="F1489" s="35"/>
      <c r="G1489" s="35"/>
      <c r="H1489" s="35"/>
      <c r="I1489" s="35"/>
      <c r="J1489" s="35"/>
      <c r="K1489" s="35"/>
      <c r="L1489" s="35"/>
      <c r="M1489" s="35"/>
    </row>
    <row r="1490" spans="2:13" x14ac:dyDescent="0.35">
      <c r="B1490" s="32"/>
      <c r="C1490" s="35"/>
      <c r="D1490" s="35"/>
      <c r="E1490" s="35"/>
      <c r="F1490" s="35"/>
      <c r="G1490" s="35"/>
      <c r="H1490" s="35"/>
      <c r="I1490" s="35"/>
      <c r="J1490" s="35"/>
      <c r="K1490" s="35"/>
      <c r="L1490" s="35"/>
      <c r="M1490" s="35"/>
    </row>
    <row r="1491" spans="2:13" x14ac:dyDescent="0.35">
      <c r="B1491" s="32"/>
      <c r="C1491" s="35"/>
      <c r="D1491" s="35"/>
      <c r="E1491" s="35"/>
      <c r="F1491" s="35"/>
      <c r="G1491" s="35"/>
      <c r="H1491" s="35"/>
      <c r="I1491" s="35"/>
      <c r="J1491" s="35"/>
      <c r="K1491" s="35"/>
      <c r="L1491" s="35"/>
      <c r="M1491" s="35"/>
    </row>
    <row r="1492" spans="2:13" x14ac:dyDescent="0.35">
      <c r="B1492" s="32"/>
      <c r="C1492" s="35"/>
      <c r="D1492" s="35"/>
      <c r="E1492" s="35"/>
      <c r="F1492" s="35"/>
      <c r="G1492" s="35"/>
      <c r="H1492" s="35"/>
      <c r="I1492" s="35"/>
      <c r="J1492" s="35"/>
      <c r="K1492" s="35"/>
      <c r="L1492" s="35"/>
      <c r="M1492" s="35"/>
    </row>
    <row r="1493" spans="2:13" x14ac:dyDescent="0.35">
      <c r="B1493" s="32"/>
      <c r="C1493" s="35"/>
      <c r="D1493" s="35"/>
      <c r="E1493" s="35"/>
      <c r="F1493" s="35"/>
      <c r="G1493" s="35"/>
      <c r="H1493" s="35"/>
      <c r="I1493" s="35"/>
      <c r="J1493" s="35"/>
      <c r="K1493" s="35"/>
      <c r="L1493" s="35"/>
      <c r="M1493" s="35"/>
    </row>
    <row r="1494" spans="2:13" x14ac:dyDescent="0.35">
      <c r="B1494" s="32"/>
      <c r="C1494" s="35"/>
      <c r="D1494" s="35"/>
      <c r="E1494" s="35"/>
      <c r="F1494" s="35"/>
      <c r="G1494" s="35"/>
      <c r="H1494" s="35"/>
      <c r="I1494" s="35"/>
      <c r="J1494" s="35"/>
      <c r="K1494" s="35"/>
      <c r="L1494" s="35"/>
      <c r="M1494" s="35"/>
    </row>
    <row r="1495" spans="2:13" x14ac:dyDescent="0.35">
      <c r="B1495" s="32"/>
      <c r="C1495" s="35"/>
      <c r="D1495" s="35"/>
      <c r="E1495" s="35"/>
      <c r="F1495" s="35"/>
      <c r="G1495" s="35"/>
      <c r="H1495" s="35"/>
      <c r="I1495" s="35"/>
      <c r="J1495" s="35"/>
      <c r="K1495" s="35"/>
      <c r="L1495" s="35"/>
      <c r="M1495" s="35"/>
    </row>
    <row r="1496" spans="2:13" x14ac:dyDescent="0.35">
      <c r="B1496" s="32"/>
      <c r="C1496" s="35"/>
      <c r="D1496" s="35"/>
      <c r="E1496" s="35"/>
      <c r="F1496" s="35"/>
      <c r="G1496" s="35"/>
      <c r="H1496" s="35"/>
      <c r="I1496" s="35"/>
      <c r="J1496" s="35"/>
      <c r="K1496" s="35"/>
      <c r="L1496" s="35"/>
      <c r="M1496" s="35"/>
    </row>
    <row r="1497" spans="2:13" x14ac:dyDescent="0.35">
      <c r="B1497" s="32"/>
      <c r="C1497" s="35"/>
      <c r="D1497" s="35"/>
      <c r="E1497" s="35"/>
      <c r="F1497" s="35"/>
      <c r="G1497" s="35"/>
      <c r="H1497" s="35"/>
      <c r="I1497" s="35"/>
      <c r="J1497" s="35"/>
      <c r="K1497" s="35"/>
      <c r="L1497" s="35"/>
      <c r="M1497" s="35"/>
    </row>
    <row r="1498" spans="2:13" x14ac:dyDescent="0.35">
      <c r="B1498" s="32"/>
      <c r="C1498" s="35"/>
      <c r="D1498" s="35"/>
      <c r="E1498" s="35"/>
      <c r="F1498" s="35"/>
      <c r="G1498" s="35"/>
      <c r="H1498" s="35"/>
      <c r="I1498" s="35"/>
      <c r="J1498" s="35"/>
      <c r="K1498" s="35"/>
      <c r="L1498" s="35"/>
      <c r="M1498" s="35"/>
    </row>
    <row r="1499" spans="2:13" x14ac:dyDescent="0.35">
      <c r="B1499" s="32"/>
      <c r="C1499" s="35"/>
      <c r="D1499" s="35"/>
      <c r="E1499" s="35"/>
      <c r="F1499" s="35"/>
      <c r="G1499" s="35"/>
      <c r="H1499" s="35"/>
      <c r="I1499" s="35"/>
      <c r="J1499" s="35"/>
      <c r="K1499" s="35"/>
      <c r="L1499" s="35"/>
      <c r="M1499" s="35"/>
    </row>
    <row r="1500" spans="2:13" x14ac:dyDescent="0.35">
      <c r="B1500" s="32"/>
      <c r="C1500" s="35"/>
      <c r="D1500" s="35"/>
      <c r="E1500" s="35"/>
      <c r="F1500" s="35"/>
      <c r="G1500" s="35"/>
      <c r="H1500" s="35"/>
      <c r="I1500" s="35"/>
      <c r="J1500" s="35"/>
      <c r="K1500" s="35"/>
      <c r="L1500" s="35"/>
      <c r="M1500" s="35"/>
    </row>
    <row r="1501" spans="2:13" x14ac:dyDescent="0.35">
      <c r="B1501" s="32"/>
      <c r="C1501" s="35"/>
      <c r="D1501" s="35"/>
      <c r="E1501" s="35"/>
      <c r="F1501" s="35"/>
      <c r="G1501" s="35"/>
      <c r="H1501" s="35"/>
      <c r="I1501" s="35"/>
      <c r="J1501" s="35"/>
      <c r="K1501" s="35"/>
      <c r="L1501" s="35"/>
      <c r="M1501" s="35"/>
    </row>
    <row r="1502" spans="2:13" x14ac:dyDescent="0.35">
      <c r="B1502" s="32"/>
      <c r="C1502" s="35"/>
      <c r="D1502" s="35"/>
      <c r="E1502" s="35"/>
      <c r="F1502" s="35"/>
      <c r="G1502" s="35"/>
      <c r="H1502" s="35"/>
      <c r="I1502" s="35"/>
      <c r="J1502" s="35"/>
      <c r="K1502" s="35"/>
      <c r="L1502" s="35"/>
      <c r="M1502" s="35"/>
    </row>
    <row r="1503" spans="2:13" x14ac:dyDescent="0.35">
      <c r="B1503" s="32"/>
      <c r="C1503" s="35"/>
      <c r="D1503" s="35"/>
      <c r="E1503" s="35"/>
      <c r="F1503" s="35"/>
      <c r="G1503" s="35"/>
      <c r="H1503" s="35"/>
      <c r="I1503" s="35"/>
      <c r="J1503" s="35"/>
      <c r="K1503" s="35"/>
      <c r="L1503" s="35"/>
      <c r="M1503" s="35"/>
    </row>
    <row r="1504" spans="2:13" x14ac:dyDescent="0.35">
      <c r="B1504" s="32"/>
      <c r="C1504" s="35"/>
      <c r="D1504" s="35"/>
      <c r="E1504" s="35"/>
      <c r="F1504" s="35"/>
      <c r="G1504" s="35"/>
      <c r="H1504" s="35"/>
      <c r="I1504" s="35"/>
      <c r="J1504" s="35"/>
      <c r="K1504" s="35"/>
      <c r="L1504" s="35"/>
      <c r="M1504" s="35"/>
    </row>
    <row r="1505" spans="2:13" x14ac:dyDescent="0.35">
      <c r="B1505" s="32"/>
      <c r="C1505" s="35"/>
      <c r="D1505" s="35"/>
      <c r="E1505" s="35"/>
      <c r="F1505" s="35"/>
      <c r="G1505" s="35"/>
      <c r="H1505" s="35"/>
      <c r="I1505" s="35"/>
      <c r="J1505" s="35"/>
      <c r="K1505" s="35"/>
      <c r="L1505" s="35"/>
      <c r="M1505" s="35"/>
    </row>
    <row r="1506" spans="2:13" x14ac:dyDescent="0.35">
      <c r="B1506" s="32"/>
      <c r="C1506" s="35"/>
      <c r="D1506" s="35"/>
      <c r="E1506" s="35"/>
      <c r="F1506" s="35"/>
      <c r="G1506" s="35"/>
      <c r="H1506" s="35"/>
      <c r="I1506" s="35"/>
      <c r="J1506" s="35"/>
      <c r="K1506" s="35"/>
      <c r="L1506" s="35"/>
      <c r="M1506" s="35"/>
    </row>
    <row r="1507" spans="2:13" x14ac:dyDescent="0.35">
      <c r="B1507" s="32"/>
      <c r="C1507" s="35"/>
      <c r="D1507" s="35"/>
      <c r="E1507" s="35"/>
      <c r="F1507" s="35"/>
      <c r="G1507" s="35"/>
      <c r="H1507" s="35"/>
      <c r="I1507" s="35"/>
      <c r="J1507" s="35"/>
      <c r="K1507" s="35"/>
      <c r="L1507" s="35"/>
      <c r="M1507" s="35"/>
    </row>
    <row r="1508" spans="2:13" x14ac:dyDescent="0.35">
      <c r="B1508" s="32"/>
      <c r="C1508" s="35"/>
      <c r="D1508" s="35"/>
      <c r="E1508" s="35"/>
      <c r="F1508" s="35"/>
      <c r="G1508" s="35"/>
      <c r="H1508" s="35"/>
      <c r="I1508" s="35"/>
      <c r="J1508" s="35"/>
      <c r="K1508" s="35"/>
      <c r="L1508" s="35"/>
      <c r="M1508" s="35"/>
    </row>
    <row r="1509" spans="2:13" x14ac:dyDescent="0.35">
      <c r="B1509" s="32"/>
      <c r="C1509" s="35"/>
      <c r="D1509" s="35"/>
      <c r="E1509" s="35"/>
      <c r="F1509" s="35"/>
      <c r="G1509" s="35"/>
      <c r="H1509" s="35"/>
      <c r="I1509" s="35"/>
      <c r="J1509" s="35"/>
      <c r="K1509" s="35"/>
      <c r="L1509" s="35"/>
      <c r="M1509" s="35"/>
    </row>
    <row r="1510" spans="2:13" x14ac:dyDescent="0.35">
      <c r="B1510" s="32"/>
      <c r="C1510" s="35"/>
      <c r="D1510" s="35"/>
      <c r="E1510" s="35"/>
      <c r="F1510" s="35"/>
      <c r="G1510" s="35"/>
      <c r="H1510" s="35"/>
      <c r="I1510" s="35"/>
      <c r="J1510" s="35"/>
      <c r="K1510" s="35"/>
      <c r="L1510" s="35"/>
      <c r="M1510" s="35"/>
    </row>
    <row r="1511" spans="2:13" x14ac:dyDescent="0.35">
      <c r="B1511" s="32"/>
      <c r="C1511" s="35"/>
      <c r="D1511" s="35"/>
      <c r="E1511" s="35"/>
      <c r="F1511" s="35"/>
      <c r="G1511" s="35"/>
      <c r="H1511" s="35"/>
      <c r="I1511" s="35"/>
      <c r="J1511" s="35"/>
      <c r="K1511" s="35"/>
      <c r="L1511" s="35"/>
      <c r="M1511" s="35"/>
    </row>
    <row r="1512" spans="2:13" x14ac:dyDescent="0.35">
      <c r="B1512" s="32"/>
      <c r="C1512" s="35"/>
      <c r="D1512" s="35"/>
      <c r="E1512" s="35"/>
      <c r="F1512" s="35"/>
      <c r="G1512" s="35"/>
      <c r="H1512" s="35"/>
      <c r="I1512" s="35"/>
      <c r="J1512" s="35"/>
      <c r="K1512" s="35"/>
      <c r="L1512" s="35"/>
      <c r="M1512" s="35"/>
    </row>
    <row r="1513" spans="2:13" x14ac:dyDescent="0.35">
      <c r="B1513" s="32"/>
      <c r="C1513" s="35"/>
      <c r="D1513" s="35"/>
      <c r="E1513" s="35"/>
      <c r="F1513" s="35"/>
      <c r="G1513" s="35"/>
      <c r="H1513" s="35"/>
      <c r="I1513" s="35"/>
      <c r="J1513" s="35"/>
      <c r="K1513" s="35"/>
      <c r="L1513" s="35"/>
      <c r="M1513" s="35"/>
    </row>
    <row r="1514" spans="2:13" x14ac:dyDescent="0.35">
      <c r="B1514" s="32"/>
      <c r="C1514" s="35"/>
      <c r="D1514" s="35"/>
      <c r="E1514" s="35"/>
      <c r="F1514" s="35"/>
      <c r="G1514" s="35"/>
      <c r="H1514" s="35"/>
      <c r="I1514" s="35"/>
      <c r="J1514" s="35"/>
      <c r="K1514" s="35"/>
      <c r="L1514" s="35"/>
      <c r="M1514" s="35"/>
    </row>
    <row r="1515" spans="2:13" x14ac:dyDescent="0.35">
      <c r="B1515" s="32"/>
      <c r="C1515" s="35"/>
      <c r="D1515" s="35"/>
      <c r="E1515" s="35"/>
      <c r="F1515" s="35"/>
      <c r="G1515" s="35"/>
      <c r="H1515" s="35"/>
      <c r="I1515" s="35"/>
      <c r="J1515" s="35"/>
      <c r="K1515" s="35"/>
      <c r="L1515" s="35"/>
      <c r="M1515" s="35"/>
    </row>
    <row r="1516" spans="2:13" x14ac:dyDescent="0.35">
      <c r="B1516" s="32"/>
      <c r="C1516" s="35"/>
      <c r="D1516" s="35"/>
      <c r="E1516" s="35"/>
      <c r="F1516" s="35"/>
      <c r="G1516" s="35"/>
      <c r="H1516" s="35"/>
      <c r="I1516" s="35"/>
      <c r="J1516" s="35"/>
      <c r="K1516" s="35"/>
      <c r="L1516" s="35"/>
      <c r="M1516" s="35"/>
    </row>
    <row r="1517" spans="2:13" x14ac:dyDescent="0.35">
      <c r="B1517" s="32"/>
      <c r="C1517" s="35"/>
      <c r="D1517" s="35"/>
      <c r="E1517" s="35"/>
      <c r="F1517" s="35"/>
      <c r="G1517" s="35"/>
      <c r="H1517" s="35"/>
      <c r="I1517" s="35"/>
      <c r="J1517" s="35"/>
      <c r="K1517" s="35"/>
      <c r="L1517" s="35"/>
      <c r="M1517" s="35"/>
    </row>
    <row r="1518" spans="2:13" x14ac:dyDescent="0.35">
      <c r="B1518" s="32"/>
      <c r="C1518" s="35"/>
      <c r="D1518" s="35"/>
      <c r="E1518" s="35"/>
      <c r="F1518" s="35"/>
      <c r="G1518" s="35"/>
      <c r="H1518" s="35"/>
      <c r="I1518" s="35"/>
      <c r="J1518" s="35"/>
      <c r="K1518" s="35"/>
      <c r="L1518" s="35"/>
      <c r="M1518" s="35"/>
    </row>
    <row r="1519" spans="2:13" x14ac:dyDescent="0.35">
      <c r="B1519" s="32"/>
      <c r="C1519" s="35"/>
      <c r="D1519" s="35"/>
      <c r="E1519" s="35"/>
      <c r="F1519" s="35"/>
      <c r="G1519" s="35"/>
      <c r="H1519" s="35"/>
      <c r="I1519" s="35"/>
      <c r="J1519" s="35"/>
      <c r="K1519" s="35"/>
      <c r="L1519" s="35"/>
      <c r="M1519" s="35"/>
    </row>
    <row r="1520" spans="2:13" x14ac:dyDescent="0.35">
      <c r="B1520" s="32"/>
      <c r="C1520" s="35"/>
      <c r="D1520" s="35"/>
      <c r="E1520" s="35"/>
      <c r="F1520" s="35"/>
      <c r="G1520" s="35"/>
      <c r="H1520" s="35"/>
      <c r="I1520" s="35"/>
      <c r="J1520" s="35"/>
      <c r="K1520" s="35"/>
      <c r="L1520" s="35"/>
      <c r="M1520" s="35"/>
    </row>
    <row r="1521" spans="2:13" x14ac:dyDescent="0.35">
      <c r="B1521" s="32"/>
      <c r="C1521" s="35"/>
      <c r="D1521" s="35"/>
      <c r="E1521" s="35"/>
      <c r="F1521" s="35"/>
      <c r="G1521" s="35"/>
      <c r="H1521" s="35"/>
      <c r="I1521" s="35"/>
      <c r="J1521" s="35"/>
      <c r="K1521" s="35"/>
      <c r="L1521" s="35"/>
      <c r="M1521" s="35"/>
    </row>
    <row r="1522" spans="2:13" x14ac:dyDescent="0.35">
      <c r="B1522" s="32"/>
      <c r="C1522" s="35"/>
      <c r="D1522" s="35"/>
      <c r="E1522" s="35"/>
      <c r="F1522" s="35"/>
      <c r="G1522" s="35"/>
      <c r="H1522" s="35"/>
      <c r="I1522" s="35"/>
      <c r="J1522" s="35"/>
      <c r="K1522" s="35"/>
      <c r="L1522" s="35"/>
      <c r="M1522" s="35"/>
    </row>
    <row r="1523" spans="2:13" x14ac:dyDescent="0.35">
      <c r="B1523" s="32"/>
      <c r="C1523" s="35"/>
      <c r="D1523" s="35"/>
      <c r="E1523" s="35"/>
      <c r="F1523" s="35"/>
      <c r="G1523" s="35"/>
      <c r="H1523" s="35"/>
      <c r="I1523" s="35"/>
      <c r="J1523" s="35"/>
      <c r="K1523" s="35"/>
      <c r="L1523" s="35"/>
      <c r="M1523" s="35"/>
    </row>
    <row r="1524" spans="2:13" x14ac:dyDescent="0.35">
      <c r="B1524" s="32"/>
      <c r="C1524" s="35"/>
      <c r="D1524" s="35"/>
      <c r="E1524" s="35"/>
      <c r="F1524" s="35"/>
      <c r="G1524" s="35"/>
      <c r="H1524" s="35"/>
      <c r="I1524" s="35"/>
      <c r="J1524" s="35"/>
      <c r="K1524" s="35"/>
      <c r="L1524" s="35"/>
      <c r="M1524" s="35"/>
    </row>
    <row r="1525" spans="2:13" x14ac:dyDescent="0.35">
      <c r="B1525" s="32"/>
      <c r="C1525" s="35"/>
      <c r="D1525" s="35"/>
      <c r="E1525" s="35"/>
      <c r="F1525" s="35"/>
      <c r="G1525" s="35"/>
      <c r="H1525" s="35"/>
      <c r="I1525" s="35"/>
      <c r="J1525" s="35"/>
      <c r="K1525" s="35"/>
      <c r="L1525" s="35"/>
      <c r="M1525" s="35"/>
    </row>
    <row r="1526" spans="2:13" x14ac:dyDescent="0.35">
      <c r="B1526" s="32"/>
      <c r="C1526" s="35"/>
      <c r="D1526" s="35"/>
      <c r="E1526" s="35"/>
      <c r="F1526" s="35"/>
      <c r="G1526" s="35"/>
      <c r="H1526" s="35"/>
      <c r="I1526" s="35"/>
      <c r="J1526" s="35"/>
      <c r="K1526" s="35"/>
      <c r="L1526" s="35"/>
      <c r="M1526" s="35"/>
    </row>
    <row r="1527" spans="2:13" x14ac:dyDescent="0.35">
      <c r="B1527" s="32"/>
      <c r="C1527" s="35"/>
      <c r="D1527" s="35"/>
      <c r="E1527" s="35"/>
      <c r="F1527" s="35"/>
      <c r="G1527" s="35"/>
      <c r="H1527" s="35"/>
      <c r="I1527" s="35"/>
      <c r="J1527" s="35"/>
      <c r="K1527" s="35"/>
      <c r="L1527" s="35"/>
      <c r="M1527" s="35"/>
    </row>
    <row r="1528" spans="2:13" x14ac:dyDescent="0.35">
      <c r="B1528" s="32"/>
      <c r="C1528" s="35"/>
      <c r="D1528" s="35"/>
      <c r="E1528" s="35"/>
      <c r="F1528" s="35"/>
      <c r="G1528" s="35"/>
      <c r="H1528" s="35"/>
      <c r="I1528" s="35"/>
      <c r="J1528" s="35"/>
      <c r="K1528" s="35"/>
      <c r="L1528" s="35"/>
      <c r="M1528" s="35"/>
    </row>
    <row r="1529" spans="2:13" x14ac:dyDescent="0.35">
      <c r="B1529" s="32"/>
      <c r="C1529" s="35"/>
      <c r="D1529" s="35"/>
      <c r="E1529" s="35"/>
      <c r="F1529" s="35"/>
      <c r="G1529" s="35"/>
      <c r="H1529" s="35"/>
      <c r="I1529" s="35"/>
      <c r="J1529" s="35"/>
      <c r="K1529" s="35"/>
      <c r="L1529" s="35"/>
      <c r="M1529" s="35"/>
    </row>
    <row r="1530" spans="2:13" x14ac:dyDescent="0.35">
      <c r="B1530" s="32"/>
      <c r="C1530" s="35"/>
      <c r="D1530" s="35"/>
      <c r="E1530" s="35"/>
      <c r="F1530" s="35"/>
      <c r="G1530" s="35"/>
      <c r="H1530" s="35"/>
      <c r="I1530" s="35"/>
      <c r="J1530" s="35"/>
      <c r="K1530" s="35"/>
      <c r="L1530" s="35"/>
      <c r="M1530" s="35"/>
    </row>
    <row r="1531" spans="2:13" x14ac:dyDescent="0.35">
      <c r="B1531" s="32"/>
      <c r="C1531" s="35"/>
      <c r="D1531" s="35"/>
      <c r="E1531" s="35"/>
      <c r="F1531" s="35"/>
      <c r="G1531" s="35"/>
      <c r="H1531" s="35"/>
      <c r="I1531" s="35"/>
      <c r="J1531" s="35"/>
      <c r="K1531" s="35"/>
      <c r="L1531" s="35"/>
      <c r="M1531" s="35"/>
    </row>
    <row r="1532" spans="2:13" x14ac:dyDescent="0.35">
      <c r="B1532" s="32"/>
      <c r="C1532" s="35"/>
      <c r="D1532" s="35"/>
      <c r="E1532" s="35"/>
      <c r="F1532" s="35"/>
      <c r="G1532" s="35"/>
      <c r="H1532" s="35"/>
      <c r="I1532" s="35"/>
      <c r="J1532" s="35"/>
      <c r="K1532" s="35"/>
      <c r="L1532" s="35"/>
      <c r="M1532" s="35"/>
    </row>
    <row r="1533" spans="2:13" x14ac:dyDescent="0.35">
      <c r="B1533" s="32"/>
      <c r="C1533" s="35"/>
      <c r="D1533" s="35"/>
      <c r="E1533" s="35"/>
      <c r="F1533" s="35"/>
      <c r="G1533" s="35"/>
      <c r="H1533" s="35"/>
      <c r="I1533" s="35"/>
      <c r="J1533" s="35"/>
      <c r="K1533" s="35"/>
      <c r="L1533" s="35"/>
      <c r="M1533" s="35"/>
    </row>
    <row r="1534" spans="2:13" x14ac:dyDescent="0.35">
      <c r="B1534" s="32"/>
      <c r="C1534" s="35"/>
      <c r="D1534" s="35"/>
      <c r="E1534" s="35"/>
      <c r="F1534" s="35"/>
      <c r="G1534" s="35"/>
      <c r="H1534" s="35"/>
      <c r="I1534" s="35"/>
      <c r="J1534" s="35"/>
      <c r="K1534" s="35"/>
      <c r="L1534" s="35"/>
      <c r="M1534" s="35"/>
    </row>
    <row r="1535" spans="2:13" x14ac:dyDescent="0.35">
      <c r="B1535" s="32"/>
      <c r="C1535" s="35"/>
      <c r="D1535" s="35"/>
      <c r="E1535" s="35"/>
      <c r="F1535" s="35"/>
      <c r="G1535" s="35"/>
      <c r="H1535" s="35"/>
      <c r="I1535" s="35"/>
      <c r="J1535" s="35"/>
      <c r="K1535" s="35"/>
      <c r="L1535" s="35"/>
      <c r="M1535" s="35"/>
    </row>
    <row r="1536" spans="2:13" x14ac:dyDescent="0.35">
      <c r="B1536" s="32"/>
      <c r="C1536" s="35"/>
      <c r="D1536" s="35"/>
      <c r="E1536" s="35"/>
      <c r="F1536" s="35"/>
      <c r="G1536" s="35"/>
      <c r="H1536" s="35"/>
      <c r="I1536" s="35"/>
      <c r="J1536" s="35"/>
      <c r="K1536" s="35"/>
      <c r="L1536" s="35"/>
      <c r="M1536" s="35"/>
    </row>
    <row r="1537" spans="2:13" x14ac:dyDescent="0.35">
      <c r="B1537" s="32"/>
      <c r="C1537" s="35"/>
      <c r="D1537" s="35"/>
      <c r="E1537" s="35"/>
      <c r="F1537" s="35"/>
      <c r="G1537" s="35"/>
      <c r="H1537" s="35"/>
      <c r="I1537" s="35"/>
      <c r="J1537" s="35"/>
      <c r="K1537" s="35"/>
      <c r="L1537" s="35"/>
      <c r="M1537" s="35"/>
    </row>
    <row r="1538" spans="2:13" x14ac:dyDescent="0.35">
      <c r="B1538" s="32"/>
      <c r="C1538" s="35"/>
      <c r="D1538" s="35"/>
      <c r="E1538" s="35"/>
      <c r="F1538" s="35"/>
      <c r="G1538" s="35"/>
      <c r="H1538" s="35"/>
      <c r="I1538" s="35"/>
      <c r="J1538" s="35"/>
      <c r="K1538" s="35"/>
      <c r="L1538" s="35"/>
      <c r="M1538" s="35"/>
    </row>
    <row r="1539" spans="2:13" x14ac:dyDescent="0.35">
      <c r="B1539" s="32"/>
      <c r="C1539" s="35"/>
      <c r="D1539" s="35"/>
      <c r="E1539" s="35"/>
      <c r="F1539" s="35"/>
      <c r="G1539" s="35"/>
      <c r="H1539" s="35"/>
      <c r="I1539" s="35"/>
      <c r="J1539" s="35"/>
      <c r="K1539" s="35"/>
      <c r="L1539" s="35"/>
      <c r="M1539" s="35"/>
    </row>
    <row r="1540" spans="2:13" x14ac:dyDescent="0.35">
      <c r="B1540" s="32"/>
      <c r="C1540" s="35"/>
      <c r="D1540" s="35"/>
      <c r="E1540" s="35"/>
      <c r="F1540" s="35"/>
      <c r="G1540" s="35"/>
      <c r="H1540" s="35"/>
      <c r="I1540" s="35"/>
      <c r="J1540" s="35"/>
      <c r="K1540" s="35"/>
      <c r="L1540" s="35"/>
      <c r="M1540" s="35"/>
    </row>
    <row r="1541" spans="2:13" x14ac:dyDescent="0.35">
      <c r="B1541" s="32"/>
      <c r="C1541" s="35"/>
      <c r="D1541" s="35"/>
      <c r="E1541" s="35"/>
      <c r="F1541" s="35"/>
      <c r="G1541" s="35"/>
      <c r="H1541" s="35"/>
      <c r="I1541" s="35"/>
      <c r="J1541" s="35"/>
      <c r="K1541" s="35"/>
      <c r="L1541" s="35"/>
      <c r="M1541" s="35"/>
    </row>
    <row r="1542" spans="2:13" x14ac:dyDescent="0.35">
      <c r="B1542" s="32"/>
      <c r="C1542" s="35"/>
      <c r="D1542" s="35"/>
      <c r="E1542" s="35"/>
      <c r="F1542" s="35"/>
      <c r="G1542" s="35"/>
      <c r="H1542" s="35"/>
      <c r="I1542" s="35"/>
      <c r="J1542" s="35"/>
      <c r="K1542" s="35"/>
      <c r="L1542" s="35"/>
      <c r="M1542" s="35"/>
    </row>
    <row r="1543" spans="2:13" x14ac:dyDescent="0.35">
      <c r="B1543" s="32"/>
      <c r="C1543" s="35"/>
      <c r="D1543" s="35"/>
      <c r="E1543" s="35"/>
      <c r="F1543" s="35"/>
      <c r="G1543" s="35"/>
      <c r="H1543" s="35"/>
      <c r="I1543" s="35"/>
      <c r="J1543" s="35"/>
      <c r="K1543" s="35"/>
      <c r="L1543" s="35"/>
      <c r="M1543" s="35"/>
    </row>
    <row r="1544" spans="2:13" x14ac:dyDescent="0.35">
      <c r="B1544" s="32"/>
      <c r="C1544" s="35"/>
      <c r="D1544" s="35"/>
      <c r="E1544" s="35"/>
      <c r="F1544" s="35"/>
      <c r="G1544" s="35"/>
      <c r="H1544" s="35"/>
      <c r="I1544" s="35"/>
      <c r="J1544" s="35"/>
      <c r="K1544" s="35"/>
      <c r="L1544" s="35"/>
      <c r="M1544" s="35"/>
    </row>
    <row r="1545" spans="2:13" x14ac:dyDescent="0.35">
      <c r="B1545" s="32"/>
      <c r="C1545" s="35"/>
      <c r="D1545" s="35"/>
      <c r="E1545" s="35"/>
      <c r="F1545" s="35"/>
      <c r="G1545" s="35"/>
      <c r="H1545" s="35"/>
      <c r="I1545" s="35"/>
      <c r="J1545" s="35"/>
      <c r="K1545" s="35"/>
      <c r="L1545" s="35"/>
      <c r="M1545" s="35"/>
    </row>
    <row r="1546" spans="2:13" x14ac:dyDescent="0.35">
      <c r="B1546" s="32"/>
      <c r="C1546" s="35"/>
      <c r="D1546" s="35"/>
      <c r="E1546" s="35"/>
      <c r="F1546" s="35"/>
      <c r="G1546" s="35"/>
      <c r="H1546" s="35"/>
      <c r="I1546" s="35"/>
      <c r="J1546" s="35"/>
      <c r="K1546" s="35"/>
      <c r="L1546" s="35"/>
      <c r="M1546" s="35"/>
    </row>
    <row r="1547" spans="2:13" x14ac:dyDescent="0.35">
      <c r="B1547" s="32"/>
      <c r="C1547" s="35"/>
      <c r="D1547" s="35"/>
      <c r="E1547" s="35"/>
      <c r="F1547" s="35"/>
      <c r="G1547" s="35"/>
      <c r="H1547" s="35"/>
      <c r="I1547" s="35"/>
      <c r="J1547" s="35"/>
      <c r="K1547" s="35"/>
      <c r="L1547" s="35"/>
      <c r="M1547" s="35"/>
    </row>
    <row r="1548" spans="2:13" x14ac:dyDescent="0.35">
      <c r="B1548" s="32"/>
      <c r="C1548" s="35"/>
      <c r="D1548" s="35"/>
      <c r="E1548" s="35"/>
      <c r="F1548" s="35"/>
      <c r="G1548" s="35"/>
      <c r="H1548" s="35"/>
      <c r="I1548" s="35"/>
      <c r="J1548" s="35"/>
      <c r="K1548" s="35"/>
      <c r="L1548" s="35"/>
      <c r="M1548" s="35"/>
    </row>
    <row r="1549" spans="2:13" x14ac:dyDescent="0.35">
      <c r="B1549" s="32"/>
      <c r="C1549" s="35"/>
      <c r="D1549" s="35"/>
      <c r="E1549" s="35"/>
      <c r="F1549" s="35"/>
      <c r="G1549" s="35"/>
      <c r="H1549" s="35"/>
      <c r="I1549" s="35"/>
      <c r="J1549" s="35"/>
      <c r="K1549" s="35"/>
      <c r="L1549" s="35"/>
      <c r="M1549" s="35"/>
    </row>
    <row r="1550" spans="2:13" x14ac:dyDescent="0.35">
      <c r="B1550" s="32"/>
      <c r="C1550" s="35"/>
      <c r="D1550" s="35"/>
      <c r="E1550" s="35"/>
      <c r="F1550" s="35"/>
      <c r="G1550" s="35"/>
      <c r="H1550" s="35"/>
      <c r="I1550" s="35"/>
      <c r="J1550" s="35"/>
      <c r="K1550" s="35"/>
      <c r="L1550" s="35"/>
      <c r="M1550" s="35"/>
    </row>
    <row r="1551" spans="2:13" x14ac:dyDescent="0.35">
      <c r="B1551" s="32"/>
      <c r="C1551" s="35"/>
      <c r="D1551" s="35"/>
      <c r="E1551" s="35"/>
      <c r="F1551" s="35"/>
      <c r="G1551" s="35"/>
      <c r="H1551" s="35"/>
      <c r="I1551" s="35"/>
      <c r="J1551" s="35"/>
      <c r="K1551" s="35"/>
      <c r="L1551" s="35"/>
      <c r="M1551" s="35"/>
    </row>
    <row r="1552" spans="2:13" x14ac:dyDescent="0.35">
      <c r="B1552" s="32"/>
      <c r="C1552" s="35"/>
      <c r="D1552" s="35"/>
      <c r="E1552" s="35"/>
      <c r="F1552" s="35"/>
      <c r="G1552" s="35"/>
      <c r="H1552" s="35"/>
      <c r="I1552" s="35"/>
      <c r="J1552" s="35"/>
      <c r="K1552" s="35"/>
      <c r="L1552" s="35"/>
      <c r="M1552" s="35"/>
    </row>
    <row r="1553" spans="2:13" x14ac:dyDescent="0.35">
      <c r="B1553" s="32"/>
      <c r="C1553" s="35"/>
      <c r="D1553" s="35"/>
      <c r="E1553" s="35"/>
      <c r="F1553" s="35"/>
      <c r="G1553" s="35"/>
      <c r="H1553" s="35"/>
      <c r="I1553" s="35"/>
      <c r="J1553" s="35"/>
      <c r="K1553" s="35"/>
      <c r="L1553" s="35"/>
      <c r="M1553" s="35"/>
    </row>
    <row r="1554" spans="2:13" x14ac:dyDescent="0.35">
      <c r="B1554" s="32"/>
      <c r="C1554" s="35"/>
      <c r="D1554" s="35"/>
      <c r="E1554" s="35"/>
      <c r="F1554" s="35"/>
      <c r="G1554" s="35"/>
      <c r="H1554" s="35"/>
      <c r="I1554" s="35"/>
      <c r="J1554" s="35"/>
      <c r="K1554" s="35"/>
      <c r="L1554" s="35"/>
      <c r="M1554" s="35"/>
    </row>
    <row r="1555" spans="2:13" x14ac:dyDescent="0.35">
      <c r="B1555" s="32"/>
      <c r="C1555" s="35"/>
      <c r="D1555" s="35"/>
      <c r="E1555" s="35"/>
      <c r="F1555" s="35"/>
      <c r="G1555" s="35"/>
      <c r="H1555" s="35"/>
      <c r="I1555" s="35"/>
      <c r="J1555" s="35"/>
      <c r="K1555" s="35"/>
      <c r="L1555" s="35"/>
      <c r="M1555" s="35"/>
    </row>
    <row r="1556" spans="2:13" x14ac:dyDescent="0.35">
      <c r="B1556" s="32"/>
      <c r="C1556" s="35"/>
      <c r="D1556" s="35"/>
      <c r="E1556" s="35"/>
      <c r="F1556" s="35"/>
      <c r="G1556" s="35"/>
      <c r="H1556" s="35"/>
      <c r="I1556" s="35"/>
      <c r="J1556" s="35"/>
      <c r="K1556" s="35"/>
      <c r="L1556" s="35"/>
      <c r="M1556" s="35"/>
    </row>
    <row r="1557" spans="2:13" x14ac:dyDescent="0.35">
      <c r="B1557" s="32"/>
      <c r="C1557" s="35"/>
      <c r="D1557" s="35"/>
      <c r="E1557" s="35"/>
      <c r="F1557" s="35"/>
      <c r="G1557" s="35"/>
      <c r="H1557" s="35"/>
      <c r="I1557" s="35"/>
      <c r="J1557" s="35"/>
      <c r="K1557" s="35"/>
      <c r="L1557" s="35"/>
      <c r="M1557" s="35"/>
    </row>
    <row r="1558" spans="2:13" x14ac:dyDescent="0.35">
      <c r="B1558" s="32"/>
      <c r="C1558" s="35"/>
      <c r="D1558" s="35"/>
      <c r="E1558" s="35"/>
      <c r="F1558" s="35"/>
      <c r="G1558" s="35"/>
      <c r="H1558" s="35"/>
      <c r="I1558" s="35"/>
      <c r="J1558" s="35"/>
      <c r="K1558" s="35"/>
      <c r="L1558" s="35"/>
      <c r="M1558" s="35"/>
    </row>
    <row r="1559" spans="2:13" x14ac:dyDescent="0.35">
      <c r="B1559" s="32"/>
      <c r="C1559" s="35"/>
      <c r="D1559" s="35"/>
      <c r="E1559" s="35"/>
      <c r="F1559" s="35"/>
      <c r="G1559" s="35"/>
      <c r="H1559" s="35"/>
      <c r="I1559" s="35"/>
      <c r="J1559" s="35"/>
      <c r="K1559" s="35"/>
      <c r="L1559" s="35"/>
      <c r="M1559" s="35"/>
    </row>
    <row r="1560" spans="2:13" x14ac:dyDescent="0.35">
      <c r="B1560" s="32"/>
      <c r="C1560" s="35"/>
      <c r="D1560" s="35"/>
      <c r="E1560" s="35"/>
      <c r="F1560" s="35"/>
      <c r="G1560" s="35"/>
      <c r="H1560" s="35"/>
      <c r="I1560" s="35"/>
      <c r="J1560" s="35"/>
      <c r="K1560" s="35"/>
      <c r="L1560" s="35"/>
      <c r="M1560" s="35"/>
    </row>
    <row r="1561" spans="2:13" x14ac:dyDescent="0.35">
      <c r="B1561" s="32"/>
      <c r="C1561" s="35"/>
      <c r="D1561" s="35"/>
      <c r="E1561" s="35"/>
      <c r="F1561" s="35"/>
      <c r="G1561" s="35"/>
      <c r="H1561" s="35"/>
      <c r="I1561" s="35"/>
      <c r="J1561" s="35"/>
      <c r="K1561" s="35"/>
      <c r="L1561" s="35"/>
      <c r="M1561" s="35"/>
    </row>
    <row r="1562" spans="2:13" x14ac:dyDescent="0.35">
      <c r="B1562" s="32"/>
      <c r="C1562" s="35"/>
      <c r="D1562" s="35"/>
      <c r="E1562" s="35"/>
      <c r="F1562" s="35"/>
      <c r="G1562" s="35"/>
      <c r="H1562" s="35"/>
      <c r="I1562" s="35"/>
      <c r="J1562" s="35"/>
      <c r="K1562" s="35"/>
      <c r="L1562" s="35"/>
      <c r="M1562" s="35"/>
    </row>
    <row r="1563" spans="2:13" x14ac:dyDescent="0.35">
      <c r="B1563" s="32"/>
      <c r="C1563" s="35"/>
      <c r="D1563" s="35"/>
      <c r="E1563" s="35"/>
      <c r="F1563" s="35"/>
      <c r="G1563" s="35"/>
      <c r="H1563" s="35"/>
      <c r="I1563" s="35"/>
      <c r="J1563" s="35"/>
      <c r="K1563" s="35"/>
      <c r="L1563" s="35"/>
      <c r="M1563" s="35"/>
    </row>
    <row r="1564" spans="2:13" x14ac:dyDescent="0.35">
      <c r="B1564" s="32"/>
      <c r="C1564" s="35"/>
      <c r="D1564" s="35"/>
      <c r="E1564" s="35"/>
      <c r="F1564" s="35"/>
      <c r="G1564" s="35"/>
      <c r="H1564" s="35"/>
      <c r="I1564" s="35"/>
      <c r="J1564" s="35"/>
      <c r="K1564" s="35"/>
      <c r="L1564" s="35"/>
      <c r="M1564" s="35"/>
    </row>
    <row r="1565" spans="2:13" x14ac:dyDescent="0.35">
      <c r="B1565" s="32"/>
      <c r="C1565" s="35"/>
      <c r="D1565" s="35"/>
      <c r="E1565" s="35"/>
      <c r="F1565" s="35"/>
      <c r="G1565" s="35"/>
      <c r="H1565" s="35"/>
      <c r="I1565" s="35"/>
      <c r="J1565" s="35"/>
      <c r="K1565" s="35"/>
      <c r="L1565" s="35"/>
      <c r="M1565" s="35"/>
    </row>
    <row r="1566" spans="2:13" x14ac:dyDescent="0.35">
      <c r="B1566" s="32"/>
      <c r="C1566" s="35"/>
      <c r="D1566" s="35"/>
      <c r="E1566" s="35"/>
      <c r="F1566" s="35"/>
      <c r="G1566" s="35"/>
      <c r="H1566" s="35"/>
      <c r="I1566" s="35"/>
      <c r="J1566" s="35"/>
      <c r="K1566" s="35"/>
      <c r="L1566" s="35"/>
      <c r="M1566" s="35"/>
    </row>
    <row r="1567" spans="2:13" x14ac:dyDescent="0.35">
      <c r="B1567" s="32"/>
      <c r="C1567" s="35"/>
      <c r="D1567" s="35"/>
      <c r="E1567" s="35"/>
      <c r="F1567" s="35"/>
      <c r="G1567" s="35"/>
      <c r="H1567" s="35"/>
      <c r="I1567" s="35"/>
      <c r="J1567" s="35"/>
      <c r="K1567" s="35"/>
      <c r="L1567" s="35"/>
      <c r="M1567" s="35"/>
    </row>
    <row r="1568" spans="2:13" x14ac:dyDescent="0.35">
      <c r="B1568" s="32"/>
      <c r="C1568" s="35"/>
      <c r="D1568" s="35"/>
      <c r="E1568" s="35"/>
      <c r="F1568" s="35"/>
      <c r="G1568" s="35"/>
      <c r="H1568" s="35"/>
      <c r="I1568" s="35"/>
      <c r="J1568" s="35"/>
      <c r="K1568" s="35"/>
      <c r="L1568" s="35"/>
      <c r="M1568" s="35"/>
    </row>
    <row r="1569" spans="2:13" x14ac:dyDescent="0.35">
      <c r="B1569" s="32"/>
      <c r="C1569" s="35"/>
      <c r="D1569" s="35"/>
      <c r="E1569" s="35"/>
      <c r="F1569" s="35"/>
      <c r="G1569" s="35"/>
      <c r="H1569" s="35"/>
      <c r="I1569" s="35"/>
      <c r="J1569" s="35"/>
      <c r="K1569" s="35"/>
      <c r="L1569" s="35"/>
      <c r="M1569" s="35"/>
    </row>
    <row r="1570" spans="2:13" x14ac:dyDescent="0.35">
      <c r="B1570" s="32"/>
      <c r="C1570" s="35"/>
      <c r="D1570" s="35"/>
      <c r="E1570" s="35"/>
      <c r="F1570" s="35"/>
      <c r="G1570" s="35"/>
      <c r="H1570" s="35"/>
      <c r="I1570" s="35"/>
      <c r="J1570" s="35"/>
      <c r="K1570" s="35"/>
      <c r="L1570" s="35"/>
      <c r="M1570" s="35"/>
    </row>
    <row r="1571" spans="2:13" x14ac:dyDescent="0.35">
      <c r="B1571" s="32"/>
      <c r="C1571" s="35"/>
      <c r="D1571" s="35"/>
      <c r="E1571" s="35"/>
      <c r="F1571" s="35"/>
      <c r="G1571" s="35"/>
      <c r="H1571" s="35"/>
      <c r="I1571" s="35"/>
      <c r="J1571" s="35"/>
      <c r="K1571" s="35"/>
      <c r="L1571" s="35"/>
      <c r="M1571" s="35"/>
    </row>
    <row r="1572" spans="2:13" x14ac:dyDescent="0.35">
      <c r="B1572" s="32"/>
      <c r="C1572" s="35"/>
      <c r="D1572" s="35"/>
      <c r="E1572" s="35"/>
      <c r="F1572" s="35"/>
      <c r="G1572" s="35"/>
      <c r="H1572" s="35"/>
      <c r="I1572" s="35"/>
      <c r="J1572" s="35"/>
      <c r="K1572" s="35"/>
      <c r="L1572" s="35"/>
      <c r="M1572" s="35"/>
    </row>
    <row r="1573" spans="2:13" x14ac:dyDescent="0.35">
      <c r="B1573" s="32"/>
      <c r="C1573" s="35"/>
      <c r="D1573" s="35"/>
      <c r="E1573" s="35"/>
      <c r="F1573" s="35"/>
      <c r="G1573" s="35"/>
      <c r="H1573" s="35"/>
      <c r="I1573" s="35"/>
      <c r="J1573" s="35"/>
      <c r="K1573" s="35"/>
      <c r="L1573" s="35"/>
      <c r="M1573" s="35"/>
    </row>
    <row r="1574" spans="2:13" x14ac:dyDescent="0.35">
      <c r="B1574" s="32"/>
      <c r="C1574" s="35"/>
      <c r="D1574" s="35"/>
      <c r="E1574" s="35"/>
      <c r="F1574" s="35"/>
      <c r="G1574" s="35"/>
      <c r="H1574" s="35"/>
      <c r="I1574" s="35"/>
      <c r="J1574" s="35"/>
      <c r="K1574" s="35"/>
      <c r="L1574" s="35"/>
      <c r="M1574" s="35"/>
    </row>
    <row r="1575" spans="2:13" x14ac:dyDescent="0.35">
      <c r="B1575" s="32"/>
      <c r="C1575" s="35"/>
      <c r="D1575" s="35"/>
      <c r="E1575" s="35"/>
      <c r="F1575" s="35"/>
      <c r="G1575" s="35"/>
      <c r="H1575" s="35"/>
      <c r="I1575" s="35"/>
      <c r="J1575" s="35"/>
      <c r="K1575" s="35"/>
      <c r="L1575" s="35"/>
      <c r="M1575" s="35"/>
    </row>
    <row r="1576" spans="2:13" x14ac:dyDescent="0.35">
      <c r="B1576" s="32"/>
      <c r="C1576" s="35"/>
      <c r="D1576" s="35"/>
      <c r="E1576" s="35"/>
      <c r="F1576" s="35"/>
      <c r="G1576" s="35"/>
      <c r="H1576" s="35"/>
      <c r="I1576" s="35"/>
      <c r="J1576" s="35"/>
      <c r="K1576" s="35"/>
      <c r="L1576" s="35"/>
      <c r="M1576" s="35"/>
    </row>
    <row r="1577" spans="2:13" x14ac:dyDescent="0.35">
      <c r="B1577" s="32"/>
      <c r="C1577" s="35"/>
      <c r="D1577" s="35"/>
      <c r="E1577" s="35"/>
      <c r="F1577" s="35"/>
      <c r="G1577" s="35"/>
      <c r="H1577" s="35"/>
      <c r="I1577" s="35"/>
      <c r="J1577" s="35"/>
      <c r="K1577" s="35"/>
      <c r="L1577" s="35"/>
      <c r="M1577" s="35"/>
    </row>
    <row r="1578" spans="2:13" x14ac:dyDescent="0.35">
      <c r="B1578" s="32"/>
      <c r="C1578" s="35"/>
      <c r="D1578" s="35"/>
      <c r="E1578" s="35"/>
      <c r="F1578" s="35"/>
      <c r="G1578" s="35"/>
      <c r="H1578" s="35"/>
      <c r="I1578" s="35"/>
      <c r="J1578" s="35"/>
      <c r="K1578" s="35"/>
      <c r="L1578" s="35"/>
      <c r="M1578" s="35"/>
    </row>
    <row r="1579" spans="2:13" x14ac:dyDescent="0.35">
      <c r="B1579" s="32"/>
      <c r="C1579" s="35"/>
      <c r="D1579" s="35"/>
      <c r="E1579" s="35"/>
      <c r="F1579" s="35"/>
      <c r="G1579" s="35"/>
      <c r="H1579" s="35"/>
      <c r="I1579" s="35"/>
      <c r="J1579" s="35"/>
      <c r="K1579" s="35"/>
      <c r="L1579" s="35"/>
      <c r="M1579" s="35"/>
    </row>
    <row r="1580" spans="2:13" x14ac:dyDescent="0.35">
      <c r="B1580" s="32"/>
      <c r="C1580" s="35"/>
      <c r="D1580" s="35"/>
      <c r="E1580" s="35"/>
      <c r="F1580" s="35"/>
      <c r="G1580" s="35"/>
      <c r="H1580" s="35"/>
      <c r="I1580" s="35"/>
      <c r="J1580" s="35"/>
      <c r="K1580" s="35"/>
      <c r="L1580" s="35"/>
      <c r="M1580" s="35"/>
    </row>
    <row r="1581" spans="2:13" x14ac:dyDescent="0.35">
      <c r="B1581" s="32"/>
      <c r="C1581" s="35"/>
      <c r="D1581" s="35"/>
      <c r="E1581" s="35"/>
      <c r="F1581" s="35"/>
      <c r="G1581" s="35"/>
      <c r="H1581" s="35"/>
      <c r="I1581" s="35"/>
      <c r="J1581" s="35"/>
      <c r="K1581" s="35"/>
      <c r="L1581" s="35"/>
      <c r="M1581" s="35"/>
    </row>
    <row r="1582" spans="2:13" x14ac:dyDescent="0.35">
      <c r="B1582" s="32"/>
      <c r="C1582" s="35"/>
      <c r="D1582" s="35"/>
      <c r="E1582" s="35"/>
      <c r="F1582" s="35"/>
      <c r="G1582" s="35"/>
      <c r="H1582" s="35"/>
      <c r="I1582" s="35"/>
      <c r="J1582" s="35"/>
      <c r="K1582" s="35"/>
      <c r="L1582" s="35"/>
      <c r="M1582" s="35"/>
    </row>
    <row r="1583" spans="2:13" x14ac:dyDescent="0.35">
      <c r="B1583" s="32"/>
      <c r="C1583" s="35"/>
      <c r="D1583" s="35"/>
      <c r="E1583" s="35"/>
      <c r="F1583" s="35"/>
      <c r="G1583" s="35"/>
      <c r="H1583" s="35"/>
      <c r="I1583" s="35"/>
      <c r="J1583" s="35"/>
      <c r="K1583" s="35"/>
      <c r="L1583" s="35"/>
      <c r="M1583" s="35"/>
    </row>
    <row r="1584" spans="2:13" x14ac:dyDescent="0.35">
      <c r="B1584" s="32"/>
      <c r="C1584" s="35"/>
      <c r="D1584" s="35"/>
      <c r="E1584" s="35"/>
      <c r="F1584" s="35"/>
      <c r="G1584" s="35"/>
      <c r="H1584" s="35"/>
      <c r="I1584" s="35"/>
      <c r="J1584" s="35"/>
      <c r="K1584" s="35"/>
      <c r="L1584" s="35"/>
      <c r="M1584" s="35"/>
    </row>
    <row r="1585" spans="2:13" x14ac:dyDescent="0.35">
      <c r="B1585" s="32"/>
      <c r="C1585" s="35"/>
      <c r="D1585" s="35"/>
      <c r="E1585" s="35"/>
      <c r="F1585" s="35"/>
      <c r="G1585" s="35"/>
      <c r="H1585" s="35"/>
      <c r="I1585" s="35"/>
      <c r="J1585" s="35"/>
      <c r="K1585" s="35"/>
      <c r="L1585" s="35"/>
      <c r="M1585" s="35"/>
    </row>
    <row r="1586" spans="2:13" x14ac:dyDescent="0.35">
      <c r="B1586" s="32"/>
      <c r="C1586" s="35"/>
      <c r="D1586" s="35"/>
      <c r="E1586" s="35"/>
      <c r="F1586" s="35"/>
      <c r="G1586" s="35"/>
      <c r="H1586" s="35"/>
      <c r="I1586" s="35"/>
      <c r="J1586" s="35"/>
      <c r="K1586" s="35"/>
      <c r="L1586" s="35"/>
      <c r="M1586" s="35"/>
    </row>
    <row r="1587" spans="2:13" x14ac:dyDescent="0.35">
      <c r="B1587" s="32"/>
      <c r="C1587" s="35"/>
      <c r="D1587" s="35"/>
      <c r="E1587" s="35"/>
      <c r="F1587" s="35"/>
      <c r="G1587" s="35"/>
      <c r="H1587" s="35"/>
      <c r="I1587" s="35"/>
      <c r="J1587" s="35"/>
      <c r="K1587" s="35"/>
      <c r="L1587" s="35"/>
      <c r="M1587" s="35"/>
    </row>
    <row r="1588" spans="2:13" x14ac:dyDescent="0.35">
      <c r="B1588" s="32"/>
      <c r="C1588" s="35"/>
      <c r="D1588" s="35"/>
      <c r="E1588" s="35"/>
      <c r="F1588" s="35"/>
      <c r="G1588" s="35"/>
      <c r="H1588" s="35"/>
      <c r="I1588" s="35"/>
      <c r="J1588" s="35"/>
      <c r="K1588" s="35"/>
      <c r="L1588" s="35"/>
      <c r="M1588" s="35"/>
    </row>
    <row r="1589" spans="2:13" x14ac:dyDescent="0.35">
      <c r="B1589" s="32"/>
      <c r="C1589" s="35"/>
      <c r="D1589" s="35"/>
      <c r="E1589" s="35"/>
      <c r="F1589" s="35"/>
      <c r="G1589" s="35"/>
      <c r="H1589" s="35"/>
      <c r="I1589" s="35"/>
      <c r="J1589" s="35"/>
      <c r="K1589" s="35"/>
      <c r="L1589" s="35"/>
      <c r="M1589" s="35"/>
    </row>
    <row r="1590" spans="2:13" x14ac:dyDescent="0.35">
      <c r="B1590" s="32"/>
      <c r="C1590" s="35"/>
      <c r="D1590" s="35"/>
      <c r="E1590" s="35"/>
      <c r="F1590" s="35"/>
      <c r="G1590" s="35"/>
      <c r="H1590" s="35"/>
      <c r="I1590" s="35"/>
      <c r="J1590" s="35"/>
      <c r="K1590" s="35"/>
      <c r="L1590" s="35"/>
      <c r="M1590" s="35"/>
    </row>
    <row r="1591" spans="2:13" x14ac:dyDescent="0.35">
      <c r="B1591" s="32"/>
      <c r="C1591" s="35"/>
      <c r="D1591" s="35"/>
      <c r="E1591" s="35"/>
      <c r="F1591" s="35"/>
      <c r="G1591" s="35"/>
      <c r="H1591" s="35"/>
      <c r="I1591" s="35"/>
      <c r="J1591" s="35"/>
      <c r="K1591" s="35"/>
      <c r="L1591" s="35"/>
      <c r="M1591" s="35"/>
    </row>
    <row r="1592" spans="2:13" x14ac:dyDescent="0.35">
      <c r="B1592" s="32"/>
      <c r="C1592" s="35"/>
      <c r="D1592" s="35"/>
      <c r="E1592" s="35"/>
      <c r="F1592" s="35"/>
      <c r="G1592" s="35"/>
      <c r="H1592" s="35"/>
      <c r="I1592" s="35"/>
      <c r="J1592" s="35"/>
      <c r="K1592" s="35"/>
      <c r="L1592" s="35"/>
      <c r="M1592" s="35"/>
    </row>
    <row r="1593" spans="2:13" x14ac:dyDescent="0.35">
      <c r="B1593" s="32"/>
      <c r="C1593" s="35"/>
      <c r="D1593" s="35"/>
      <c r="E1593" s="35"/>
      <c r="F1593" s="35"/>
      <c r="G1593" s="35"/>
      <c r="H1593" s="35"/>
      <c r="I1593" s="35"/>
      <c r="J1593" s="35"/>
      <c r="K1593" s="35"/>
      <c r="L1593" s="35"/>
      <c r="M1593" s="35"/>
    </row>
    <row r="1594" spans="2:13" x14ac:dyDescent="0.35">
      <c r="B1594" s="32"/>
      <c r="C1594" s="35"/>
      <c r="D1594" s="35"/>
      <c r="E1594" s="35"/>
      <c r="F1594" s="35"/>
      <c r="G1594" s="35"/>
      <c r="H1594" s="35"/>
      <c r="I1594" s="35"/>
      <c r="J1594" s="35"/>
      <c r="K1594" s="35"/>
      <c r="L1594" s="35"/>
      <c r="M1594" s="35"/>
    </row>
    <row r="1595" spans="2:13" x14ac:dyDescent="0.35">
      <c r="B1595" s="32"/>
      <c r="C1595" s="35"/>
      <c r="D1595" s="35"/>
      <c r="E1595" s="35"/>
      <c r="F1595" s="35"/>
      <c r="G1595" s="35"/>
      <c r="H1595" s="35"/>
      <c r="I1595" s="35"/>
      <c r="J1595" s="35"/>
      <c r="K1595" s="35"/>
      <c r="L1595" s="35"/>
      <c r="M1595" s="35"/>
    </row>
    <row r="1596" spans="2:13" x14ac:dyDescent="0.35">
      <c r="B1596" s="32"/>
      <c r="C1596" s="35"/>
      <c r="D1596" s="35"/>
      <c r="E1596" s="35"/>
      <c r="F1596" s="35"/>
      <c r="G1596" s="35"/>
      <c r="H1596" s="35"/>
      <c r="I1596" s="35"/>
      <c r="J1596" s="35"/>
      <c r="K1596" s="35"/>
      <c r="L1596" s="35"/>
      <c r="M1596" s="35"/>
    </row>
    <row r="1597" spans="2:13" x14ac:dyDescent="0.35">
      <c r="B1597" s="32"/>
      <c r="C1597" s="35"/>
      <c r="D1597" s="35"/>
      <c r="E1597" s="35"/>
      <c r="F1597" s="35"/>
      <c r="G1597" s="35"/>
      <c r="H1597" s="35"/>
      <c r="I1597" s="35"/>
      <c r="J1597" s="35"/>
      <c r="K1597" s="35"/>
      <c r="L1597" s="35"/>
      <c r="M1597" s="35"/>
    </row>
    <row r="1598" spans="2:13" x14ac:dyDescent="0.35">
      <c r="B1598" s="32"/>
      <c r="C1598" s="35"/>
      <c r="D1598" s="35"/>
      <c r="E1598" s="35"/>
      <c r="F1598" s="35"/>
      <c r="G1598" s="35"/>
      <c r="H1598" s="35"/>
      <c r="I1598" s="35"/>
      <c r="J1598" s="35"/>
      <c r="K1598" s="35"/>
      <c r="L1598" s="35"/>
      <c r="M1598" s="35"/>
    </row>
    <row r="1599" spans="2:13" x14ac:dyDescent="0.35">
      <c r="B1599" s="32"/>
      <c r="C1599" s="35"/>
      <c r="D1599" s="35"/>
      <c r="E1599" s="35"/>
      <c r="F1599" s="35"/>
      <c r="G1599" s="35"/>
      <c r="H1599" s="35"/>
      <c r="I1599" s="35"/>
      <c r="J1599" s="35"/>
      <c r="K1599" s="35"/>
      <c r="L1599" s="35"/>
      <c r="M1599" s="35"/>
    </row>
    <row r="1600" spans="2:13" x14ac:dyDescent="0.35">
      <c r="B1600" s="32"/>
      <c r="C1600" s="35"/>
      <c r="D1600" s="35"/>
      <c r="E1600" s="35"/>
      <c r="F1600" s="35"/>
      <c r="G1600" s="35"/>
      <c r="H1600" s="35"/>
      <c r="I1600" s="35"/>
      <c r="J1600" s="35"/>
      <c r="K1600" s="35"/>
      <c r="L1600" s="35"/>
      <c r="M1600" s="35"/>
    </row>
    <row r="1601" spans="2:13" x14ac:dyDescent="0.35">
      <c r="B1601" s="32"/>
      <c r="C1601" s="35"/>
      <c r="D1601" s="35"/>
      <c r="E1601" s="35"/>
      <c r="F1601" s="35"/>
      <c r="G1601" s="35"/>
      <c r="H1601" s="35"/>
      <c r="I1601" s="35"/>
      <c r="J1601" s="35"/>
      <c r="K1601" s="35"/>
      <c r="L1601" s="35"/>
      <c r="M1601" s="35"/>
    </row>
    <row r="1602" spans="2:13" x14ac:dyDescent="0.35">
      <c r="B1602" s="32"/>
      <c r="C1602" s="35"/>
      <c r="D1602" s="35"/>
      <c r="E1602" s="35"/>
      <c r="F1602" s="35"/>
      <c r="G1602" s="35"/>
      <c r="H1602" s="35"/>
      <c r="I1602" s="35"/>
      <c r="J1602" s="35"/>
      <c r="K1602" s="35"/>
      <c r="L1602" s="35"/>
      <c r="M1602" s="35"/>
    </row>
    <row r="1603" spans="2:13" x14ac:dyDescent="0.35">
      <c r="B1603" s="32"/>
      <c r="C1603" s="35"/>
      <c r="D1603" s="35"/>
      <c r="E1603" s="35"/>
      <c r="F1603" s="35"/>
      <c r="G1603" s="35"/>
      <c r="H1603" s="35"/>
      <c r="I1603" s="35"/>
      <c r="J1603" s="35"/>
      <c r="K1603" s="35"/>
      <c r="L1603" s="35"/>
      <c r="M1603" s="35"/>
    </row>
    <row r="1604" spans="2:13" x14ac:dyDescent="0.35">
      <c r="B1604" s="32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</row>
    <row r="1605" spans="2:13" x14ac:dyDescent="0.35">
      <c r="B1605" s="32"/>
      <c r="C1605" s="35"/>
      <c r="D1605" s="35"/>
      <c r="E1605" s="35"/>
      <c r="F1605" s="35"/>
      <c r="G1605" s="35"/>
      <c r="H1605" s="35"/>
      <c r="I1605" s="35"/>
      <c r="J1605" s="35"/>
      <c r="K1605" s="35"/>
      <c r="L1605" s="35"/>
      <c r="M1605" s="35"/>
    </row>
    <row r="1606" spans="2:13" x14ac:dyDescent="0.35">
      <c r="B1606" s="32"/>
      <c r="C1606" s="35"/>
      <c r="D1606" s="35"/>
      <c r="E1606" s="35"/>
      <c r="F1606" s="35"/>
      <c r="G1606" s="35"/>
      <c r="H1606" s="35"/>
      <c r="I1606" s="35"/>
      <c r="J1606" s="35"/>
      <c r="K1606" s="35"/>
      <c r="L1606" s="35"/>
      <c r="M1606" s="35"/>
    </row>
    <row r="1607" spans="2:13" x14ac:dyDescent="0.35">
      <c r="B1607" s="32"/>
      <c r="C1607" s="35"/>
      <c r="D1607" s="35"/>
      <c r="E1607" s="35"/>
      <c r="F1607" s="35"/>
      <c r="G1607" s="35"/>
      <c r="H1607" s="35"/>
      <c r="I1607" s="35"/>
      <c r="J1607" s="35"/>
      <c r="K1607" s="35"/>
      <c r="L1607" s="35"/>
      <c r="M1607" s="35"/>
    </row>
    <row r="1608" spans="2:13" x14ac:dyDescent="0.35">
      <c r="B1608" s="32"/>
      <c r="C1608" s="35"/>
      <c r="D1608" s="35"/>
      <c r="E1608" s="35"/>
      <c r="F1608" s="35"/>
      <c r="G1608" s="35"/>
      <c r="H1608" s="35"/>
      <c r="I1608" s="35"/>
      <c r="J1608" s="35"/>
      <c r="K1608" s="35"/>
      <c r="L1608" s="35"/>
      <c r="M1608" s="35"/>
    </row>
    <row r="1609" spans="2:13" x14ac:dyDescent="0.35">
      <c r="B1609" s="32"/>
      <c r="C1609" s="35"/>
      <c r="D1609" s="35"/>
      <c r="E1609" s="35"/>
      <c r="F1609" s="35"/>
      <c r="G1609" s="35"/>
      <c r="H1609" s="35"/>
      <c r="I1609" s="35"/>
      <c r="J1609" s="35"/>
      <c r="K1609" s="35"/>
      <c r="L1609" s="35"/>
      <c r="M1609" s="35"/>
    </row>
    <row r="1610" spans="2:13" x14ac:dyDescent="0.35">
      <c r="B1610" s="32"/>
      <c r="C1610" s="35"/>
      <c r="D1610" s="35"/>
      <c r="E1610" s="35"/>
      <c r="F1610" s="35"/>
      <c r="G1610" s="35"/>
      <c r="H1610" s="35"/>
      <c r="I1610" s="35"/>
      <c r="J1610" s="35"/>
      <c r="K1610" s="35"/>
      <c r="L1610" s="35"/>
      <c r="M1610" s="35"/>
    </row>
    <row r="1611" spans="2:13" x14ac:dyDescent="0.35">
      <c r="B1611" s="32"/>
      <c r="C1611" s="35"/>
      <c r="D1611" s="35"/>
      <c r="E1611" s="35"/>
      <c r="F1611" s="35"/>
      <c r="G1611" s="35"/>
      <c r="H1611" s="35"/>
      <c r="I1611" s="35"/>
      <c r="J1611" s="35"/>
      <c r="K1611" s="35"/>
      <c r="L1611" s="35"/>
      <c r="M1611" s="35"/>
    </row>
    <row r="1612" spans="2:13" x14ac:dyDescent="0.35">
      <c r="B1612" s="32"/>
      <c r="C1612" s="35"/>
      <c r="D1612" s="35"/>
      <c r="E1612" s="35"/>
      <c r="F1612" s="35"/>
      <c r="G1612" s="35"/>
      <c r="H1612" s="35"/>
      <c r="I1612" s="35"/>
      <c r="J1612" s="35"/>
      <c r="K1612" s="35"/>
      <c r="L1612" s="35"/>
      <c r="M1612" s="35"/>
    </row>
    <row r="1613" spans="2:13" x14ac:dyDescent="0.35">
      <c r="B1613" s="32"/>
      <c r="C1613" s="35"/>
      <c r="D1613" s="35"/>
      <c r="E1613" s="35"/>
      <c r="F1613" s="35"/>
      <c r="G1613" s="35"/>
      <c r="H1613" s="35"/>
      <c r="I1613" s="35"/>
      <c r="J1613" s="35"/>
      <c r="K1613" s="35"/>
      <c r="L1613" s="35"/>
      <c r="M1613" s="35"/>
    </row>
    <row r="1614" spans="2:13" x14ac:dyDescent="0.35">
      <c r="B1614" s="32"/>
      <c r="C1614" s="35"/>
      <c r="D1614" s="35"/>
      <c r="E1614" s="35"/>
      <c r="F1614" s="35"/>
      <c r="G1614" s="35"/>
      <c r="H1614" s="35"/>
      <c r="I1614" s="35"/>
      <c r="J1614" s="35"/>
      <c r="K1614" s="35"/>
      <c r="L1614" s="35"/>
      <c r="M1614" s="35"/>
    </row>
    <row r="1615" spans="2:13" x14ac:dyDescent="0.35">
      <c r="B1615" s="32"/>
      <c r="C1615" s="35"/>
      <c r="D1615" s="35"/>
      <c r="E1615" s="35"/>
      <c r="F1615" s="35"/>
      <c r="G1615" s="35"/>
      <c r="H1615" s="35"/>
      <c r="I1615" s="35"/>
      <c r="J1615" s="35"/>
      <c r="K1615" s="35"/>
      <c r="L1615" s="35"/>
      <c r="M1615" s="35"/>
    </row>
    <row r="1616" spans="2:13" x14ac:dyDescent="0.35">
      <c r="B1616" s="32"/>
      <c r="C1616" s="35"/>
      <c r="D1616" s="35"/>
      <c r="E1616" s="35"/>
      <c r="F1616" s="35"/>
      <c r="G1616" s="35"/>
      <c r="H1616" s="35"/>
      <c r="I1616" s="35"/>
      <c r="J1616" s="35"/>
      <c r="K1616" s="35"/>
      <c r="L1616" s="35"/>
      <c r="M1616" s="35"/>
    </row>
    <row r="1617" spans="2:13" x14ac:dyDescent="0.35">
      <c r="B1617" s="32"/>
      <c r="C1617" s="35"/>
      <c r="D1617" s="35"/>
      <c r="E1617" s="35"/>
      <c r="F1617" s="35"/>
      <c r="G1617" s="35"/>
      <c r="H1617" s="35"/>
      <c r="I1617" s="35"/>
      <c r="J1617" s="35"/>
      <c r="K1617" s="35"/>
      <c r="L1617" s="35"/>
      <c r="M1617" s="35"/>
    </row>
    <row r="1618" spans="2:13" x14ac:dyDescent="0.35">
      <c r="B1618" s="32"/>
      <c r="C1618" s="35"/>
      <c r="D1618" s="35"/>
      <c r="E1618" s="35"/>
      <c r="F1618" s="35"/>
      <c r="G1618" s="35"/>
      <c r="H1618" s="35"/>
      <c r="I1618" s="35"/>
      <c r="J1618" s="35"/>
      <c r="K1618" s="35"/>
      <c r="L1618" s="35"/>
      <c r="M1618" s="35"/>
    </row>
    <row r="1619" spans="2:13" x14ac:dyDescent="0.35">
      <c r="B1619" s="32"/>
      <c r="C1619" s="35"/>
      <c r="D1619" s="35"/>
      <c r="E1619" s="35"/>
      <c r="F1619" s="35"/>
      <c r="G1619" s="35"/>
      <c r="H1619" s="35"/>
      <c r="I1619" s="35"/>
      <c r="J1619" s="35"/>
      <c r="K1619" s="35"/>
      <c r="L1619" s="35"/>
      <c r="M1619" s="35"/>
    </row>
    <row r="1620" spans="2:13" x14ac:dyDescent="0.35">
      <c r="B1620" s="32"/>
      <c r="C1620" s="35"/>
      <c r="D1620" s="35"/>
      <c r="E1620" s="35"/>
      <c r="F1620" s="35"/>
      <c r="G1620" s="35"/>
      <c r="H1620" s="35"/>
      <c r="I1620" s="35"/>
      <c r="J1620" s="35"/>
      <c r="K1620" s="35"/>
      <c r="L1620" s="35"/>
      <c r="M1620" s="35"/>
    </row>
    <row r="1621" spans="2:13" x14ac:dyDescent="0.35">
      <c r="B1621" s="32"/>
      <c r="C1621" s="35"/>
      <c r="D1621" s="35"/>
      <c r="E1621" s="35"/>
      <c r="F1621" s="35"/>
      <c r="G1621" s="35"/>
      <c r="H1621" s="35"/>
      <c r="I1621" s="35"/>
      <c r="J1621" s="35"/>
      <c r="K1621" s="35"/>
      <c r="L1621" s="35"/>
      <c r="M1621" s="35"/>
    </row>
    <row r="1622" spans="2:13" x14ac:dyDescent="0.35">
      <c r="B1622" s="32"/>
      <c r="C1622" s="35"/>
      <c r="D1622" s="35"/>
      <c r="E1622" s="35"/>
      <c r="F1622" s="35"/>
      <c r="G1622" s="35"/>
      <c r="H1622" s="35"/>
      <c r="I1622" s="35"/>
      <c r="J1622" s="35"/>
      <c r="K1622" s="35"/>
      <c r="L1622" s="35"/>
      <c r="M1622" s="35"/>
    </row>
    <row r="1623" spans="2:13" x14ac:dyDescent="0.35">
      <c r="B1623" s="32"/>
      <c r="C1623" s="35"/>
      <c r="D1623" s="35"/>
      <c r="E1623" s="35"/>
      <c r="F1623" s="35"/>
      <c r="G1623" s="35"/>
      <c r="H1623" s="35"/>
      <c r="I1623" s="35"/>
      <c r="J1623" s="35"/>
      <c r="K1623" s="35"/>
      <c r="L1623" s="35"/>
      <c r="M1623" s="35"/>
    </row>
    <row r="1624" spans="2:13" x14ac:dyDescent="0.35">
      <c r="B1624" s="32"/>
      <c r="C1624" s="35"/>
      <c r="D1624" s="35"/>
      <c r="E1624" s="35"/>
      <c r="F1624" s="35"/>
      <c r="G1624" s="35"/>
      <c r="H1624" s="35"/>
      <c r="I1624" s="35"/>
      <c r="J1624" s="35"/>
      <c r="K1624" s="35"/>
      <c r="L1624" s="35"/>
      <c r="M1624" s="35"/>
    </row>
    <row r="1625" spans="2:13" x14ac:dyDescent="0.35">
      <c r="B1625" s="32"/>
      <c r="C1625" s="35"/>
      <c r="D1625" s="35"/>
      <c r="E1625" s="35"/>
      <c r="F1625" s="35"/>
      <c r="G1625" s="35"/>
      <c r="H1625" s="35"/>
      <c r="I1625" s="35"/>
      <c r="J1625" s="35"/>
      <c r="K1625" s="35"/>
      <c r="L1625" s="35"/>
      <c r="M1625" s="35"/>
    </row>
    <row r="1626" spans="2:13" x14ac:dyDescent="0.35">
      <c r="B1626" s="32"/>
      <c r="C1626" s="35"/>
      <c r="D1626" s="35"/>
      <c r="E1626" s="35"/>
      <c r="F1626" s="35"/>
      <c r="G1626" s="35"/>
      <c r="H1626" s="35"/>
      <c r="I1626" s="35"/>
      <c r="J1626" s="35"/>
      <c r="K1626" s="35"/>
      <c r="L1626" s="35"/>
      <c r="M1626" s="35"/>
    </row>
    <row r="1627" spans="2:13" x14ac:dyDescent="0.35">
      <c r="B1627" s="32"/>
      <c r="C1627" s="35"/>
      <c r="D1627" s="35"/>
      <c r="E1627" s="35"/>
      <c r="F1627" s="35"/>
      <c r="G1627" s="35"/>
      <c r="H1627" s="35"/>
      <c r="I1627" s="35"/>
      <c r="J1627" s="35"/>
      <c r="K1627" s="35"/>
      <c r="L1627" s="35"/>
      <c r="M1627" s="35"/>
    </row>
    <row r="1628" spans="2:13" x14ac:dyDescent="0.35">
      <c r="B1628" s="32"/>
      <c r="C1628" s="35"/>
      <c r="D1628" s="35"/>
      <c r="E1628" s="35"/>
      <c r="F1628" s="35"/>
      <c r="G1628" s="35"/>
      <c r="H1628" s="35"/>
      <c r="I1628" s="35"/>
      <c r="J1628" s="35"/>
      <c r="K1628" s="35"/>
      <c r="L1628" s="35"/>
      <c r="M1628" s="35"/>
    </row>
    <row r="1629" spans="2:13" x14ac:dyDescent="0.35">
      <c r="B1629" s="32"/>
      <c r="C1629" s="35"/>
      <c r="D1629" s="35"/>
      <c r="E1629" s="35"/>
      <c r="F1629" s="35"/>
      <c r="G1629" s="35"/>
      <c r="H1629" s="35"/>
      <c r="I1629" s="35"/>
      <c r="J1629" s="35"/>
      <c r="K1629" s="35"/>
      <c r="L1629" s="35"/>
      <c r="M1629" s="35"/>
    </row>
    <row r="1630" spans="2:13" x14ac:dyDescent="0.35">
      <c r="B1630" s="32"/>
      <c r="C1630" s="35"/>
      <c r="D1630" s="35"/>
      <c r="E1630" s="35"/>
      <c r="F1630" s="35"/>
      <c r="G1630" s="35"/>
      <c r="H1630" s="35"/>
      <c r="I1630" s="35"/>
      <c r="J1630" s="35"/>
      <c r="K1630" s="35"/>
      <c r="L1630" s="35"/>
      <c r="M1630" s="35"/>
    </row>
    <row r="1631" spans="2:13" x14ac:dyDescent="0.35">
      <c r="B1631" s="32"/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</row>
    <row r="1632" spans="2:13" x14ac:dyDescent="0.35">
      <c r="B1632" s="32"/>
      <c r="C1632" s="35"/>
      <c r="D1632" s="35"/>
      <c r="E1632" s="35"/>
      <c r="F1632" s="35"/>
      <c r="G1632" s="35"/>
      <c r="H1632" s="35"/>
      <c r="I1632" s="35"/>
      <c r="J1632" s="35"/>
      <c r="K1632" s="35"/>
      <c r="L1632" s="35"/>
      <c r="M1632" s="35"/>
    </row>
    <row r="1633" spans="2:13" x14ac:dyDescent="0.35">
      <c r="B1633" s="32"/>
      <c r="C1633" s="35"/>
      <c r="D1633" s="35"/>
      <c r="E1633" s="35"/>
      <c r="F1633" s="35"/>
      <c r="G1633" s="35"/>
      <c r="H1633" s="35"/>
      <c r="I1633" s="35"/>
      <c r="J1633" s="35"/>
      <c r="K1633" s="35"/>
      <c r="L1633" s="35"/>
      <c r="M1633" s="35"/>
    </row>
    <row r="1634" spans="2:13" x14ac:dyDescent="0.35">
      <c r="B1634" s="32"/>
      <c r="C1634" s="35"/>
      <c r="D1634" s="35"/>
      <c r="E1634" s="35"/>
      <c r="F1634" s="35"/>
      <c r="G1634" s="35"/>
      <c r="H1634" s="35"/>
      <c r="I1634" s="35"/>
      <c r="J1634" s="35"/>
      <c r="K1634" s="35"/>
      <c r="L1634" s="35"/>
      <c r="M1634" s="35"/>
    </row>
    <row r="1635" spans="2:13" x14ac:dyDescent="0.35">
      <c r="B1635" s="32"/>
      <c r="C1635" s="35"/>
      <c r="D1635" s="35"/>
      <c r="E1635" s="35"/>
      <c r="F1635" s="35"/>
      <c r="G1635" s="35"/>
      <c r="H1635" s="35"/>
      <c r="I1635" s="35"/>
      <c r="J1635" s="35"/>
      <c r="K1635" s="35"/>
      <c r="L1635" s="35"/>
      <c r="M1635" s="35"/>
    </row>
    <row r="1636" spans="2:13" x14ac:dyDescent="0.35">
      <c r="B1636" s="32"/>
      <c r="C1636" s="35"/>
      <c r="D1636" s="35"/>
      <c r="E1636" s="35"/>
      <c r="F1636" s="35"/>
      <c r="G1636" s="35"/>
      <c r="H1636" s="35"/>
      <c r="I1636" s="35"/>
      <c r="J1636" s="35"/>
      <c r="K1636" s="35"/>
      <c r="L1636" s="35"/>
      <c r="M1636" s="35"/>
    </row>
    <row r="1637" spans="2:13" x14ac:dyDescent="0.35">
      <c r="B1637" s="32"/>
      <c r="C1637" s="35"/>
      <c r="D1637" s="35"/>
      <c r="E1637" s="35"/>
      <c r="F1637" s="35"/>
      <c r="G1637" s="35"/>
      <c r="H1637" s="35"/>
      <c r="I1637" s="35"/>
      <c r="J1637" s="35"/>
      <c r="K1637" s="35"/>
      <c r="L1637" s="35"/>
      <c r="M1637" s="35"/>
    </row>
    <row r="1638" spans="2:13" x14ac:dyDescent="0.35">
      <c r="B1638" s="32"/>
      <c r="C1638" s="35"/>
      <c r="D1638" s="35"/>
      <c r="E1638" s="35"/>
      <c r="F1638" s="35"/>
      <c r="G1638" s="35"/>
      <c r="H1638" s="35"/>
      <c r="I1638" s="35"/>
      <c r="J1638" s="35"/>
      <c r="K1638" s="35"/>
      <c r="L1638" s="35"/>
      <c r="M1638" s="35"/>
    </row>
    <row r="1639" spans="2:13" x14ac:dyDescent="0.35">
      <c r="B1639" s="32"/>
      <c r="C1639" s="35"/>
      <c r="D1639" s="35"/>
      <c r="E1639" s="35"/>
      <c r="F1639" s="35"/>
      <c r="G1639" s="35"/>
      <c r="H1639" s="35"/>
      <c r="I1639" s="35"/>
      <c r="J1639" s="35"/>
      <c r="K1639" s="35"/>
      <c r="L1639" s="35"/>
      <c r="M1639" s="35"/>
    </row>
    <row r="1640" spans="2:13" x14ac:dyDescent="0.35">
      <c r="B1640" s="32"/>
      <c r="C1640" s="35"/>
      <c r="D1640" s="35"/>
      <c r="E1640" s="35"/>
      <c r="F1640" s="35"/>
      <c r="G1640" s="35"/>
      <c r="H1640" s="35"/>
      <c r="I1640" s="35"/>
      <c r="J1640" s="35"/>
      <c r="K1640" s="35"/>
      <c r="L1640" s="35"/>
      <c r="M1640" s="35"/>
    </row>
    <row r="1641" spans="2:13" x14ac:dyDescent="0.35">
      <c r="B1641" s="32"/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</row>
    <row r="1642" spans="2:13" x14ac:dyDescent="0.35">
      <c r="B1642" s="32"/>
      <c r="C1642" s="35"/>
      <c r="D1642" s="35"/>
      <c r="E1642" s="35"/>
      <c r="F1642" s="35"/>
      <c r="G1642" s="35"/>
      <c r="H1642" s="35"/>
      <c r="I1642" s="35"/>
      <c r="J1642" s="35"/>
      <c r="K1642" s="35"/>
      <c r="L1642" s="35"/>
      <c r="M1642" s="35"/>
    </row>
    <row r="1643" spans="2:13" x14ac:dyDescent="0.35">
      <c r="B1643" s="32"/>
      <c r="C1643" s="35"/>
      <c r="D1643" s="35"/>
      <c r="E1643" s="35"/>
      <c r="F1643" s="35"/>
      <c r="G1643" s="35"/>
      <c r="H1643" s="35"/>
      <c r="I1643" s="35"/>
      <c r="J1643" s="35"/>
      <c r="K1643" s="35"/>
      <c r="L1643" s="35"/>
      <c r="M1643" s="35"/>
    </row>
    <row r="1644" spans="2:13" x14ac:dyDescent="0.35">
      <c r="B1644" s="32"/>
      <c r="C1644" s="35"/>
      <c r="D1644" s="35"/>
      <c r="E1644" s="35"/>
      <c r="F1644" s="35"/>
      <c r="G1644" s="35"/>
      <c r="H1644" s="35"/>
      <c r="I1644" s="35"/>
      <c r="J1644" s="35"/>
      <c r="K1644" s="35"/>
      <c r="L1644" s="35"/>
      <c r="M1644" s="35"/>
    </row>
    <row r="1645" spans="2:13" x14ac:dyDescent="0.35">
      <c r="B1645" s="32"/>
      <c r="C1645" s="35"/>
      <c r="D1645" s="35"/>
      <c r="E1645" s="35"/>
      <c r="F1645" s="35"/>
      <c r="G1645" s="35"/>
      <c r="H1645" s="35"/>
      <c r="I1645" s="35"/>
      <c r="J1645" s="35"/>
      <c r="K1645" s="35"/>
      <c r="L1645" s="35"/>
      <c r="M1645" s="35"/>
    </row>
    <row r="1646" spans="2:13" x14ac:dyDescent="0.35">
      <c r="B1646" s="32"/>
      <c r="C1646" s="35"/>
      <c r="D1646" s="35"/>
      <c r="E1646" s="35"/>
      <c r="F1646" s="35"/>
      <c r="G1646" s="35"/>
      <c r="H1646" s="35"/>
      <c r="I1646" s="35"/>
      <c r="J1646" s="35"/>
      <c r="K1646" s="35"/>
      <c r="L1646" s="35"/>
      <c r="M1646" s="35"/>
    </row>
    <row r="1647" spans="2:13" x14ac:dyDescent="0.35">
      <c r="B1647" s="32"/>
      <c r="C1647" s="35"/>
      <c r="D1647" s="35"/>
      <c r="E1647" s="35"/>
      <c r="F1647" s="35"/>
      <c r="G1647" s="35"/>
      <c r="H1647" s="35"/>
      <c r="I1647" s="35"/>
      <c r="J1647" s="35"/>
      <c r="K1647" s="35"/>
      <c r="L1647" s="35"/>
      <c r="M1647" s="35"/>
    </row>
    <row r="1648" spans="2:13" x14ac:dyDescent="0.35">
      <c r="B1648" s="32"/>
      <c r="C1648" s="35"/>
      <c r="D1648" s="35"/>
      <c r="E1648" s="35"/>
      <c r="F1648" s="35"/>
      <c r="G1648" s="35"/>
      <c r="H1648" s="35"/>
      <c r="I1648" s="35"/>
      <c r="J1648" s="35"/>
      <c r="K1648" s="35"/>
      <c r="L1648" s="35"/>
      <c r="M1648" s="35"/>
    </row>
    <row r="1649" spans="2:13" x14ac:dyDescent="0.35">
      <c r="B1649" s="32"/>
      <c r="C1649" s="35"/>
      <c r="D1649" s="35"/>
      <c r="E1649" s="35"/>
      <c r="F1649" s="35"/>
      <c r="G1649" s="35"/>
      <c r="H1649" s="35"/>
      <c r="I1649" s="35"/>
      <c r="J1649" s="35"/>
      <c r="K1649" s="35"/>
      <c r="L1649" s="35"/>
      <c r="M1649" s="35"/>
    </row>
    <row r="1650" spans="2:13" x14ac:dyDescent="0.35">
      <c r="B1650" s="32"/>
      <c r="C1650" s="35"/>
      <c r="D1650" s="35"/>
      <c r="E1650" s="35"/>
      <c r="F1650" s="35"/>
      <c r="G1650" s="35"/>
      <c r="H1650" s="35"/>
      <c r="I1650" s="35"/>
      <c r="J1650" s="35"/>
      <c r="K1650" s="35"/>
      <c r="L1650" s="35"/>
      <c r="M1650" s="35"/>
    </row>
    <row r="1651" spans="2:13" x14ac:dyDescent="0.35">
      <c r="B1651" s="32"/>
      <c r="C1651" s="35"/>
      <c r="D1651" s="35"/>
      <c r="E1651" s="35"/>
      <c r="F1651" s="35"/>
      <c r="G1651" s="35"/>
      <c r="H1651" s="35"/>
      <c r="I1651" s="35"/>
      <c r="J1651" s="35"/>
      <c r="K1651" s="35"/>
      <c r="L1651" s="35"/>
      <c r="M1651" s="35"/>
    </row>
    <row r="1652" spans="2:13" x14ac:dyDescent="0.35">
      <c r="B1652" s="32"/>
      <c r="C1652" s="35"/>
      <c r="D1652" s="35"/>
      <c r="E1652" s="35"/>
      <c r="F1652" s="35"/>
      <c r="G1652" s="35"/>
      <c r="H1652" s="35"/>
      <c r="I1652" s="35"/>
      <c r="J1652" s="35"/>
      <c r="K1652" s="35"/>
      <c r="L1652" s="35"/>
      <c r="M1652" s="35"/>
    </row>
    <row r="1653" spans="2:13" x14ac:dyDescent="0.35">
      <c r="B1653" s="32"/>
      <c r="C1653" s="35"/>
      <c r="D1653" s="35"/>
      <c r="E1653" s="35"/>
      <c r="F1653" s="35"/>
      <c r="G1653" s="35"/>
      <c r="H1653" s="35"/>
      <c r="I1653" s="35"/>
      <c r="J1653" s="35"/>
      <c r="K1653" s="35"/>
      <c r="L1653" s="35"/>
      <c r="M1653" s="35"/>
    </row>
    <row r="1654" spans="2:13" x14ac:dyDescent="0.35">
      <c r="B1654" s="32"/>
      <c r="C1654" s="35"/>
      <c r="D1654" s="35"/>
      <c r="E1654" s="35"/>
      <c r="F1654" s="35"/>
      <c r="G1654" s="35"/>
      <c r="H1654" s="35"/>
      <c r="I1654" s="35"/>
      <c r="J1654" s="35"/>
      <c r="K1654" s="35"/>
      <c r="L1654" s="35"/>
      <c r="M1654" s="35"/>
    </row>
    <row r="1655" spans="2:13" x14ac:dyDescent="0.35">
      <c r="B1655" s="32"/>
      <c r="C1655" s="35"/>
      <c r="D1655" s="35"/>
      <c r="E1655" s="35"/>
      <c r="F1655" s="35"/>
      <c r="G1655" s="35"/>
      <c r="H1655" s="35"/>
      <c r="I1655" s="35"/>
      <c r="J1655" s="35"/>
      <c r="K1655" s="35"/>
      <c r="L1655" s="35"/>
      <c r="M1655" s="35"/>
    </row>
    <row r="1656" spans="2:13" x14ac:dyDescent="0.35">
      <c r="B1656" s="32"/>
      <c r="C1656" s="35"/>
      <c r="D1656" s="35"/>
      <c r="E1656" s="35"/>
      <c r="F1656" s="35"/>
      <c r="G1656" s="35"/>
      <c r="H1656" s="35"/>
      <c r="I1656" s="35"/>
      <c r="J1656" s="35"/>
      <c r="K1656" s="35"/>
      <c r="L1656" s="35"/>
      <c r="M1656" s="35"/>
    </row>
    <row r="1657" spans="2:13" x14ac:dyDescent="0.35">
      <c r="B1657" s="32"/>
      <c r="C1657" s="35"/>
      <c r="D1657" s="35"/>
      <c r="E1657" s="35"/>
      <c r="F1657" s="35"/>
      <c r="G1657" s="35"/>
      <c r="H1657" s="35"/>
      <c r="I1657" s="35"/>
      <c r="J1657" s="35"/>
      <c r="K1657" s="35"/>
      <c r="L1657" s="35"/>
      <c r="M1657" s="35"/>
    </row>
    <row r="1658" spans="2:13" x14ac:dyDescent="0.35">
      <c r="B1658" s="32"/>
      <c r="C1658" s="35"/>
      <c r="D1658" s="35"/>
      <c r="E1658" s="35"/>
      <c r="F1658" s="35"/>
      <c r="G1658" s="35"/>
      <c r="H1658" s="35"/>
      <c r="I1658" s="35"/>
      <c r="J1658" s="35"/>
      <c r="K1658" s="35"/>
      <c r="L1658" s="35"/>
      <c r="M1658" s="35"/>
    </row>
    <row r="1659" spans="2:13" x14ac:dyDescent="0.35">
      <c r="B1659" s="32"/>
      <c r="C1659" s="35"/>
      <c r="D1659" s="35"/>
      <c r="E1659" s="35"/>
      <c r="F1659" s="35"/>
      <c r="G1659" s="35"/>
      <c r="H1659" s="35"/>
      <c r="I1659" s="35"/>
      <c r="J1659" s="35"/>
      <c r="K1659" s="35"/>
      <c r="L1659" s="35"/>
      <c r="M1659" s="35"/>
    </row>
    <row r="1660" spans="2:13" x14ac:dyDescent="0.35">
      <c r="B1660" s="32"/>
      <c r="C1660" s="35"/>
      <c r="D1660" s="35"/>
      <c r="E1660" s="35"/>
      <c r="F1660" s="35"/>
      <c r="G1660" s="35"/>
      <c r="H1660" s="35"/>
      <c r="I1660" s="35"/>
      <c r="J1660" s="35"/>
      <c r="K1660" s="35"/>
      <c r="L1660" s="35"/>
      <c r="M1660" s="35"/>
    </row>
    <row r="1661" spans="2:13" x14ac:dyDescent="0.35">
      <c r="B1661" s="32"/>
      <c r="C1661" s="35"/>
      <c r="D1661" s="35"/>
      <c r="E1661" s="35"/>
      <c r="F1661" s="35"/>
      <c r="G1661" s="35"/>
      <c r="H1661" s="35"/>
      <c r="I1661" s="35"/>
      <c r="J1661" s="35"/>
      <c r="K1661" s="35"/>
      <c r="L1661" s="35"/>
      <c r="M1661" s="35"/>
    </row>
    <row r="1662" spans="2:13" x14ac:dyDescent="0.35">
      <c r="B1662" s="32"/>
      <c r="C1662" s="35"/>
      <c r="D1662" s="35"/>
      <c r="E1662" s="35"/>
      <c r="F1662" s="35"/>
      <c r="G1662" s="35"/>
      <c r="H1662" s="35"/>
      <c r="I1662" s="35"/>
      <c r="J1662" s="35"/>
      <c r="K1662" s="35"/>
      <c r="L1662" s="35"/>
      <c r="M1662" s="35"/>
    </row>
    <row r="1663" spans="2:13" x14ac:dyDescent="0.35">
      <c r="B1663" s="32"/>
      <c r="C1663" s="35"/>
      <c r="D1663" s="35"/>
      <c r="E1663" s="35"/>
      <c r="F1663" s="35"/>
      <c r="G1663" s="35"/>
      <c r="H1663" s="35"/>
      <c r="I1663" s="35"/>
      <c r="J1663" s="35"/>
      <c r="K1663" s="35"/>
      <c r="L1663" s="35"/>
      <c r="M1663" s="35"/>
    </row>
    <row r="1664" spans="2:13" x14ac:dyDescent="0.35">
      <c r="B1664" s="32"/>
      <c r="C1664" s="35"/>
      <c r="D1664" s="35"/>
      <c r="E1664" s="35"/>
      <c r="F1664" s="35"/>
      <c r="G1664" s="35"/>
      <c r="H1664" s="35"/>
      <c r="I1664" s="35"/>
      <c r="J1664" s="35"/>
      <c r="K1664" s="35"/>
      <c r="L1664" s="35"/>
      <c r="M1664" s="35"/>
    </row>
    <row r="1665" spans="2:13" x14ac:dyDescent="0.35">
      <c r="B1665" s="32"/>
      <c r="C1665" s="35"/>
      <c r="D1665" s="35"/>
      <c r="E1665" s="35"/>
      <c r="F1665" s="35"/>
      <c r="G1665" s="35"/>
      <c r="H1665" s="35"/>
      <c r="I1665" s="35"/>
      <c r="J1665" s="35"/>
      <c r="K1665" s="35"/>
      <c r="L1665" s="35"/>
      <c r="M1665" s="35"/>
    </row>
    <row r="1666" spans="2:13" x14ac:dyDescent="0.35">
      <c r="B1666" s="32"/>
      <c r="C1666" s="35"/>
      <c r="D1666" s="35"/>
      <c r="E1666" s="35"/>
      <c r="F1666" s="35"/>
      <c r="G1666" s="35"/>
      <c r="H1666" s="35"/>
      <c r="I1666" s="35"/>
      <c r="J1666" s="35"/>
      <c r="K1666" s="35"/>
      <c r="L1666" s="35"/>
      <c r="M1666" s="35"/>
    </row>
    <row r="1667" spans="2:13" x14ac:dyDescent="0.35">
      <c r="B1667" s="32"/>
      <c r="C1667" s="35"/>
      <c r="D1667" s="35"/>
      <c r="E1667" s="35"/>
      <c r="F1667" s="35"/>
      <c r="G1667" s="35"/>
      <c r="H1667" s="35"/>
      <c r="I1667" s="35"/>
      <c r="J1667" s="35"/>
      <c r="K1667" s="35"/>
      <c r="L1667" s="35"/>
      <c r="M1667" s="35"/>
    </row>
    <row r="1668" spans="2:13" x14ac:dyDescent="0.35">
      <c r="B1668" s="32"/>
      <c r="C1668" s="35"/>
      <c r="D1668" s="35"/>
      <c r="E1668" s="35"/>
      <c r="F1668" s="35"/>
      <c r="G1668" s="35"/>
      <c r="H1668" s="35"/>
      <c r="I1668" s="35"/>
      <c r="J1668" s="35"/>
      <c r="K1668" s="35"/>
      <c r="L1668" s="35"/>
      <c r="M1668" s="35"/>
    </row>
    <row r="1669" spans="2:13" x14ac:dyDescent="0.35">
      <c r="B1669" s="32"/>
      <c r="C1669" s="35"/>
      <c r="D1669" s="35"/>
      <c r="E1669" s="35"/>
      <c r="F1669" s="35"/>
      <c r="G1669" s="35"/>
      <c r="H1669" s="35"/>
      <c r="I1669" s="35"/>
      <c r="J1669" s="35"/>
      <c r="K1669" s="35"/>
      <c r="L1669" s="35"/>
      <c r="M1669" s="35"/>
    </row>
    <row r="1670" spans="2:13" x14ac:dyDescent="0.35">
      <c r="B1670" s="32"/>
      <c r="C1670" s="35"/>
      <c r="D1670" s="35"/>
      <c r="E1670" s="35"/>
      <c r="F1670" s="35"/>
      <c r="G1670" s="35"/>
      <c r="H1670" s="35"/>
      <c r="I1670" s="35"/>
      <c r="J1670" s="35"/>
      <c r="K1670" s="35"/>
      <c r="L1670" s="35"/>
      <c r="M1670" s="35"/>
    </row>
    <row r="1671" spans="2:13" x14ac:dyDescent="0.35">
      <c r="B1671" s="32"/>
      <c r="C1671" s="35"/>
      <c r="D1671" s="35"/>
      <c r="E1671" s="35"/>
      <c r="F1671" s="35"/>
      <c r="G1671" s="35"/>
      <c r="H1671" s="35"/>
      <c r="I1671" s="35"/>
      <c r="J1671" s="35"/>
      <c r="K1671" s="35"/>
      <c r="L1671" s="35"/>
      <c r="M1671" s="35"/>
    </row>
    <row r="1672" spans="2:13" x14ac:dyDescent="0.35">
      <c r="B1672" s="32"/>
      <c r="C1672" s="35"/>
      <c r="D1672" s="35"/>
      <c r="E1672" s="35"/>
      <c r="F1672" s="35"/>
      <c r="G1672" s="35"/>
      <c r="H1672" s="35"/>
      <c r="I1672" s="35"/>
      <c r="J1672" s="35"/>
      <c r="K1672" s="35"/>
      <c r="L1672" s="35"/>
      <c r="M1672" s="35"/>
    </row>
    <row r="1673" spans="2:13" x14ac:dyDescent="0.35">
      <c r="B1673" s="32"/>
      <c r="C1673" s="35"/>
      <c r="D1673" s="35"/>
      <c r="E1673" s="35"/>
      <c r="F1673" s="35"/>
      <c r="G1673" s="35"/>
      <c r="H1673" s="35"/>
      <c r="I1673" s="35"/>
      <c r="J1673" s="35"/>
      <c r="K1673" s="35"/>
      <c r="L1673" s="35"/>
      <c r="M1673" s="35"/>
    </row>
    <row r="1674" spans="2:13" x14ac:dyDescent="0.35">
      <c r="B1674" s="32"/>
      <c r="C1674" s="35"/>
      <c r="D1674" s="35"/>
      <c r="E1674" s="35"/>
      <c r="F1674" s="35"/>
      <c r="G1674" s="35"/>
      <c r="H1674" s="35"/>
      <c r="I1674" s="35"/>
      <c r="J1674" s="35"/>
      <c r="K1674" s="35"/>
      <c r="L1674" s="35"/>
      <c r="M1674" s="35"/>
    </row>
    <row r="1675" spans="2:13" x14ac:dyDescent="0.35">
      <c r="B1675" s="32"/>
      <c r="C1675" s="35"/>
      <c r="D1675" s="35"/>
      <c r="E1675" s="35"/>
      <c r="F1675" s="35"/>
      <c r="G1675" s="35"/>
      <c r="H1675" s="35"/>
      <c r="I1675" s="35"/>
      <c r="J1675" s="35"/>
      <c r="K1675" s="35"/>
      <c r="L1675" s="35"/>
      <c r="M1675" s="35"/>
    </row>
    <row r="1676" spans="2:13" x14ac:dyDescent="0.35">
      <c r="B1676" s="32"/>
      <c r="C1676" s="35"/>
      <c r="D1676" s="35"/>
      <c r="E1676" s="35"/>
      <c r="F1676" s="35"/>
      <c r="G1676" s="35"/>
      <c r="H1676" s="35"/>
      <c r="I1676" s="35"/>
      <c r="J1676" s="35"/>
      <c r="K1676" s="35"/>
      <c r="L1676" s="35"/>
      <c r="M1676" s="35"/>
    </row>
    <row r="1677" spans="2:13" x14ac:dyDescent="0.35">
      <c r="B1677" s="32"/>
      <c r="C1677" s="35"/>
      <c r="D1677" s="35"/>
      <c r="E1677" s="35"/>
      <c r="F1677" s="35"/>
      <c r="G1677" s="35"/>
      <c r="H1677" s="35"/>
      <c r="I1677" s="35"/>
      <c r="J1677" s="35"/>
      <c r="K1677" s="35"/>
      <c r="L1677" s="35"/>
      <c r="M1677" s="35"/>
    </row>
    <row r="1678" spans="2:13" x14ac:dyDescent="0.35">
      <c r="B1678" s="32"/>
      <c r="C1678" s="35"/>
      <c r="D1678" s="35"/>
      <c r="E1678" s="35"/>
      <c r="F1678" s="35"/>
      <c r="G1678" s="35"/>
      <c r="H1678" s="35"/>
      <c r="I1678" s="35"/>
      <c r="J1678" s="35"/>
      <c r="K1678" s="35"/>
      <c r="L1678" s="35"/>
      <c r="M1678" s="35"/>
    </row>
    <row r="1679" spans="2:13" x14ac:dyDescent="0.35">
      <c r="B1679" s="32"/>
      <c r="C1679" s="35"/>
      <c r="D1679" s="35"/>
      <c r="E1679" s="35"/>
      <c r="F1679" s="35"/>
      <c r="G1679" s="35"/>
      <c r="H1679" s="35"/>
      <c r="I1679" s="35"/>
      <c r="J1679" s="35"/>
      <c r="K1679" s="35"/>
      <c r="L1679" s="35"/>
      <c r="M1679" s="35"/>
    </row>
    <row r="1680" spans="2:13" x14ac:dyDescent="0.35">
      <c r="B1680" s="32"/>
      <c r="C1680" s="35"/>
      <c r="D1680" s="35"/>
      <c r="E1680" s="35"/>
      <c r="F1680" s="35"/>
      <c r="G1680" s="35"/>
      <c r="H1680" s="35"/>
      <c r="I1680" s="35"/>
      <c r="J1680" s="35"/>
      <c r="K1680" s="35"/>
      <c r="L1680" s="35"/>
      <c r="M1680" s="35"/>
    </row>
    <row r="1681" spans="2:13" x14ac:dyDescent="0.35">
      <c r="B1681" s="32"/>
      <c r="C1681" s="35"/>
      <c r="D1681" s="35"/>
      <c r="E1681" s="35"/>
      <c r="F1681" s="35"/>
      <c r="G1681" s="35"/>
      <c r="H1681" s="35"/>
      <c r="I1681" s="35"/>
      <c r="J1681" s="35"/>
      <c r="K1681" s="35"/>
      <c r="L1681" s="35"/>
      <c r="M1681" s="35"/>
    </row>
    <row r="1682" spans="2:13" x14ac:dyDescent="0.35">
      <c r="B1682" s="32"/>
      <c r="C1682" s="35"/>
      <c r="D1682" s="35"/>
      <c r="E1682" s="35"/>
      <c r="F1682" s="35"/>
      <c r="G1682" s="35"/>
      <c r="H1682" s="35"/>
      <c r="I1682" s="35"/>
      <c r="J1682" s="35"/>
      <c r="K1682" s="35"/>
      <c r="L1682" s="35"/>
      <c r="M1682" s="35"/>
    </row>
    <row r="1683" spans="2:13" x14ac:dyDescent="0.35">
      <c r="B1683" s="32"/>
      <c r="C1683" s="35"/>
      <c r="D1683" s="35"/>
      <c r="E1683" s="35"/>
      <c r="F1683" s="35"/>
      <c r="G1683" s="35"/>
      <c r="H1683" s="35"/>
      <c r="I1683" s="35"/>
      <c r="J1683" s="35"/>
      <c r="K1683" s="35"/>
      <c r="L1683" s="35"/>
      <c r="M1683" s="35"/>
    </row>
    <row r="1684" spans="2:13" x14ac:dyDescent="0.35">
      <c r="B1684" s="32"/>
      <c r="C1684" s="35"/>
      <c r="D1684" s="35"/>
      <c r="E1684" s="35"/>
      <c r="F1684" s="35"/>
      <c r="G1684" s="35"/>
      <c r="H1684" s="35"/>
      <c r="I1684" s="35"/>
      <c r="J1684" s="35"/>
      <c r="K1684" s="35"/>
      <c r="L1684" s="35"/>
      <c r="M1684" s="35"/>
    </row>
    <row r="1685" spans="2:13" x14ac:dyDescent="0.35">
      <c r="B1685" s="32"/>
      <c r="C1685" s="35"/>
      <c r="D1685" s="35"/>
      <c r="E1685" s="35"/>
      <c r="F1685" s="35"/>
      <c r="G1685" s="35"/>
      <c r="H1685" s="35"/>
      <c r="I1685" s="35"/>
      <c r="J1685" s="35"/>
      <c r="K1685" s="35"/>
      <c r="L1685" s="35"/>
      <c r="M1685" s="35"/>
    </row>
    <row r="1686" spans="2:13" x14ac:dyDescent="0.35">
      <c r="B1686" s="32"/>
      <c r="C1686" s="35"/>
      <c r="D1686" s="35"/>
      <c r="E1686" s="35"/>
      <c r="F1686" s="35"/>
      <c r="G1686" s="35"/>
      <c r="H1686" s="35"/>
      <c r="I1686" s="35"/>
      <c r="J1686" s="35"/>
      <c r="K1686" s="35"/>
      <c r="L1686" s="35"/>
      <c r="M1686" s="35"/>
    </row>
    <row r="1687" spans="2:13" x14ac:dyDescent="0.35">
      <c r="B1687" s="32"/>
      <c r="C1687" s="35"/>
      <c r="D1687" s="35"/>
      <c r="E1687" s="35"/>
      <c r="F1687" s="35"/>
      <c r="G1687" s="35"/>
      <c r="H1687" s="35"/>
      <c r="I1687" s="35"/>
      <c r="J1687" s="35"/>
      <c r="K1687" s="35"/>
      <c r="L1687" s="35"/>
      <c r="M1687" s="35"/>
    </row>
    <row r="1688" spans="2:13" x14ac:dyDescent="0.35">
      <c r="B1688" s="32"/>
      <c r="C1688" s="35"/>
      <c r="D1688" s="35"/>
      <c r="E1688" s="35"/>
      <c r="F1688" s="35"/>
      <c r="G1688" s="35"/>
      <c r="H1688" s="35"/>
      <c r="I1688" s="35"/>
      <c r="J1688" s="35"/>
      <c r="K1688" s="35"/>
      <c r="L1688" s="35"/>
      <c r="M1688" s="35"/>
    </row>
    <row r="1689" spans="2:13" x14ac:dyDescent="0.35">
      <c r="B1689" s="32"/>
      <c r="C1689" s="35"/>
      <c r="D1689" s="35"/>
      <c r="E1689" s="35"/>
      <c r="F1689" s="35"/>
      <c r="G1689" s="35"/>
      <c r="H1689" s="35"/>
      <c r="I1689" s="35"/>
      <c r="J1689" s="35"/>
      <c r="K1689" s="35"/>
      <c r="L1689" s="35"/>
      <c r="M1689" s="35"/>
    </row>
    <row r="1690" spans="2:13" x14ac:dyDescent="0.35">
      <c r="B1690" s="32"/>
      <c r="C1690" s="35"/>
      <c r="D1690" s="35"/>
      <c r="E1690" s="35"/>
      <c r="F1690" s="35"/>
      <c r="G1690" s="35"/>
      <c r="H1690" s="35"/>
      <c r="I1690" s="35"/>
      <c r="J1690" s="35"/>
      <c r="K1690" s="35"/>
      <c r="L1690" s="35"/>
      <c r="M1690" s="35"/>
    </row>
    <row r="1691" spans="2:13" x14ac:dyDescent="0.35">
      <c r="B1691" s="32"/>
      <c r="C1691" s="35"/>
      <c r="D1691" s="35"/>
      <c r="E1691" s="35"/>
      <c r="F1691" s="35"/>
      <c r="G1691" s="35"/>
      <c r="H1691" s="35"/>
      <c r="I1691" s="35"/>
      <c r="J1691" s="35"/>
      <c r="K1691" s="35"/>
      <c r="L1691" s="35"/>
      <c r="M1691" s="35"/>
    </row>
    <row r="1692" spans="2:13" x14ac:dyDescent="0.35">
      <c r="B1692" s="32"/>
      <c r="C1692" s="35"/>
      <c r="D1692" s="35"/>
      <c r="E1692" s="35"/>
      <c r="F1692" s="35"/>
      <c r="G1692" s="35"/>
      <c r="H1692" s="35"/>
      <c r="I1692" s="35"/>
      <c r="J1692" s="35"/>
      <c r="K1692" s="35"/>
      <c r="L1692" s="35"/>
      <c r="M1692" s="35"/>
    </row>
    <row r="1693" spans="2:13" x14ac:dyDescent="0.35">
      <c r="B1693" s="32"/>
      <c r="C1693" s="35"/>
      <c r="D1693" s="35"/>
      <c r="E1693" s="35"/>
      <c r="F1693" s="35"/>
      <c r="G1693" s="35"/>
      <c r="H1693" s="35"/>
      <c r="I1693" s="35"/>
      <c r="J1693" s="35"/>
      <c r="K1693" s="35"/>
      <c r="L1693" s="35"/>
      <c r="M1693" s="35"/>
    </row>
    <row r="1694" spans="2:13" x14ac:dyDescent="0.35">
      <c r="B1694" s="32"/>
      <c r="C1694" s="35"/>
      <c r="D1694" s="35"/>
      <c r="E1694" s="35"/>
      <c r="F1694" s="35"/>
      <c r="G1694" s="35"/>
      <c r="H1694" s="35"/>
      <c r="I1694" s="35"/>
      <c r="J1694" s="35"/>
      <c r="K1694" s="35"/>
      <c r="L1694" s="35"/>
      <c r="M1694" s="35"/>
    </row>
    <row r="1695" spans="2:13" x14ac:dyDescent="0.35">
      <c r="B1695" s="32"/>
      <c r="C1695" s="35"/>
      <c r="D1695" s="35"/>
      <c r="E1695" s="35"/>
      <c r="F1695" s="35"/>
      <c r="G1695" s="35"/>
      <c r="H1695" s="35"/>
      <c r="I1695" s="35"/>
      <c r="J1695" s="35"/>
      <c r="K1695" s="35"/>
      <c r="L1695" s="35"/>
      <c r="M1695" s="35"/>
    </row>
    <row r="1696" spans="2:13" x14ac:dyDescent="0.35">
      <c r="B1696" s="32"/>
      <c r="C1696" s="35"/>
      <c r="D1696" s="35"/>
      <c r="E1696" s="35"/>
      <c r="F1696" s="35"/>
      <c r="G1696" s="35"/>
      <c r="H1696" s="35"/>
      <c r="I1696" s="35"/>
      <c r="J1696" s="35"/>
      <c r="K1696" s="35"/>
      <c r="L1696" s="35"/>
      <c r="M1696" s="35"/>
    </row>
    <row r="1697" spans="2:13" x14ac:dyDescent="0.35">
      <c r="B1697" s="32"/>
      <c r="C1697" s="35"/>
      <c r="D1697" s="35"/>
      <c r="E1697" s="35"/>
      <c r="F1697" s="35"/>
      <c r="G1697" s="35"/>
      <c r="H1697" s="35"/>
      <c r="I1697" s="35"/>
      <c r="J1697" s="35"/>
      <c r="K1697" s="35"/>
      <c r="L1697" s="35"/>
      <c r="M1697" s="35"/>
    </row>
    <row r="1698" spans="2:13" x14ac:dyDescent="0.35">
      <c r="B1698" s="32"/>
      <c r="C1698" s="35"/>
      <c r="D1698" s="35"/>
      <c r="E1698" s="35"/>
      <c r="F1698" s="35"/>
      <c r="G1698" s="35"/>
      <c r="H1698" s="35"/>
      <c r="I1698" s="35"/>
      <c r="J1698" s="35"/>
      <c r="K1698" s="35"/>
      <c r="L1698" s="35"/>
      <c r="M1698" s="35"/>
    </row>
    <row r="1699" spans="2:13" x14ac:dyDescent="0.35">
      <c r="B1699" s="32"/>
      <c r="C1699" s="35"/>
      <c r="D1699" s="35"/>
      <c r="E1699" s="35"/>
      <c r="F1699" s="35"/>
      <c r="G1699" s="35"/>
      <c r="H1699" s="35"/>
      <c r="I1699" s="35"/>
      <c r="J1699" s="35"/>
      <c r="K1699" s="35"/>
      <c r="L1699" s="35"/>
      <c r="M1699" s="35"/>
    </row>
    <row r="1700" spans="2:13" x14ac:dyDescent="0.35">
      <c r="B1700" s="32"/>
      <c r="C1700" s="35"/>
      <c r="D1700" s="35"/>
      <c r="E1700" s="35"/>
      <c r="F1700" s="35"/>
      <c r="G1700" s="35"/>
      <c r="H1700" s="35"/>
      <c r="I1700" s="35"/>
      <c r="J1700" s="35"/>
      <c r="K1700" s="35"/>
      <c r="L1700" s="35"/>
      <c r="M1700" s="35"/>
    </row>
    <row r="1701" spans="2:13" x14ac:dyDescent="0.35">
      <c r="B1701" s="32"/>
      <c r="C1701" s="35"/>
      <c r="D1701" s="35"/>
      <c r="E1701" s="35"/>
      <c r="F1701" s="35"/>
      <c r="G1701" s="35"/>
      <c r="H1701" s="35"/>
      <c r="I1701" s="35"/>
      <c r="J1701" s="35"/>
      <c r="K1701" s="35"/>
      <c r="L1701" s="35"/>
      <c r="M1701" s="35"/>
    </row>
    <row r="1702" spans="2:13" x14ac:dyDescent="0.35">
      <c r="B1702" s="32"/>
      <c r="C1702" s="35"/>
      <c r="D1702" s="35"/>
      <c r="E1702" s="35"/>
      <c r="F1702" s="35"/>
      <c r="G1702" s="35"/>
      <c r="H1702" s="35"/>
      <c r="I1702" s="35"/>
      <c r="J1702" s="35"/>
      <c r="K1702" s="35"/>
      <c r="L1702" s="35"/>
      <c r="M1702" s="35"/>
    </row>
    <row r="1703" spans="2:13" x14ac:dyDescent="0.35">
      <c r="B1703" s="32"/>
      <c r="C1703" s="35"/>
      <c r="D1703" s="35"/>
      <c r="E1703" s="35"/>
      <c r="F1703" s="35"/>
      <c r="G1703" s="35"/>
      <c r="H1703" s="35"/>
      <c r="I1703" s="35"/>
      <c r="J1703" s="35"/>
      <c r="K1703" s="35"/>
      <c r="L1703" s="35"/>
      <c r="M1703" s="35"/>
    </row>
    <row r="1704" spans="2:13" x14ac:dyDescent="0.35">
      <c r="B1704" s="32"/>
      <c r="C1704" s="35"/>
      <c r="D1704" s="35"/>
      <c r="E1704" s="35"/>
      <c r="F1704" s="35"/>
      <c r="G1704" s="35"/>
      <c r="H1704" s="35"/>
      <c r="I1704" s="35"/>
      <c r="J1704" s="35"/>
      <c r="K1704" s="35"/>
      <c r="L1704" s="35"/>
      <c r="M1704" s="35"/>
    </row>
    <row r="1705" spans="2:13" x14ac:dyDescent="0.35">
      <c r="B1705" s="32"/>
      <c r="C1705" s="35"/>
      <c r="D1705" s="35"/>
      <c r="E1705" s="35"/>
      <c r="F1705" s="35"/>
      <c r="G1705" s="35"/>
      <c r="H1705" s="35"/>
      <c r="I1705" s="35"/>
      <c r="J1705" s="35"/>
      <c r="K1705" s="35"/>
      <c r="L1705" s="35"/>
      <c r="M1705" s="35"/>
    </row>
    <row r="1706" spans="2:13" x14ac:dyDescent="0.35">
      <c r="B1706" s="32"/>
      <c r="C1706" s="35"/>
      <c r="D1706" s="35"/>
      <c r="E1706" s="35"/>
      <c r="F1706" s="35"/>
      <c r="G1706" s="35"/>
      <c r="H1706" s="35"/>
      <c r="I1706" s="35"/>
      <c r="J1706" s="35"/>
      <c r="K1706" s="35"/>
      <c r="L1706" s="35"/>
      <c r="M1706" s="35"/>
    </row>
    <row r="1707" spans="2:13" x14ac:dyDescent="0.35">
      <c r="B1707" s="32"/>
      <c r="C1707" s="35"/>
      <c r="D1707" s="35"/>
      <c r="E1707" s="35"/>
      <c r="F1707" s="35"/>
      <c r="G1707" s="35"/>
      <c r="H1707" s="35"/>
      <c r="I1707" s="35"/>
      <c r="J1707" s="35"/>
      <c r="K1707" s="35"/>
      <c r="L1707" s="35"/>
      <c r="M1707" s="35"/>
    </row>
    <row r="1708" spans="2:13" x14ac:dyDescent="0.35">
      <c r="B1708" s="32"/>
      <c r="C1708" s="35"/>
      <c r="D1708" s="35"/>
      <c r="E1708" s="35"/>
      <c r="F1708" s="35"/>
      <c r="G1708" s="35"/>
      <c r="H1708" s="35"/>
      <c r="I1708" s="35"/>
      <c r="J1708" s="35"/>
      <c r="K1708" s="35"/>
      <c r="L1708" s="35"/>
      <c r="M1708" s="35"/>
    </row>
    <row r="1709" spans="2:13" x14ac:dyDescent="0.35">
      <c r="B1709" s="32"/>
      <c r="C1709" s="35"/>
      <c r="D1709" s="35"/>
      <c r="E1709" s="35"/>
      <c r="F1709" s="35"/>
      <c r="G1709" s="35"/>
      <c r="H1709" s="35"/>
      <c r="I1709" s="35"/>
      <c r="J1709" s="35"/>
      <c r="K1709" s="35"/>
      <c r="L1709" s="35"/>
      <c r="M1709" s="35"/>
    </row>
    <row r="1710" spans="2:13" x14ac:dyDescent="0.35">
      <c r="B1710" s="32"/>
      <c r="C1710" s="35"/>
      <c r="D1710" s="35"/>
      <c r="E1710" s="35"/>
      <c r="F1710" s="35"/>
      <c r="G1710" s="35"/>
      <c r="H1710" s="35"/>
      <c r="I1710" s="35"/>
      <c r="J1710" s="35"/>
      <c r="K1710" s="35"/>
      <c r="L1710" s="35"/>
      <c r="M1710" s="35"/>
    </row>
    <row r="1711" spans="2:13" x14ac:dyDescent="0.35">
      <c r="B1711" s="32"/>
      <c r="C1711" s="35"/>
      <c r="D1711" s="35"/>
      <c r="E1711" s="35"/>
      <c r="F1711" s="35"/>
      <c r="G1711" s="35"/>
      <c r="H1711" s="35"/>
      <c r="I1711" s="35"/>
      <c r="J1711" s="35"/>
      <c r="K1711" s="35"/>
      <c r="L1711" s="35"/>
      <c r="M1711" s="35"/>
    </row>
    <row r="1712" spans="2:13" x14ac:dyDescent="0.35">
      <c r="B1712" s="32"/>
      <c r="C1712" s="35"/>
      <c r="D1712" s="35"/>
      <c r="E1712" s="35"/>
      <c r="F1712" s="35"/>
      <c r="G1712" s="35"/>
      <c r="H1712" s="35"/>
      <c r="I1712" s="35"/>
      <c r="J1712" s="35"/>
      <c r="K1712" s="35"/>
      <c r="L1712" s="35"/>
      <c r="M1712" s="35"/>
    </row>
    <row r="1713" spans="2:13" x14ac:dyDescent="0.35">
      <c r="B1713" s="32"/>
      <c r="C1713" s="35"/>
      <c r="D1713" s="35"/>
      <c r="E1713" s="35"/>
      <c r="F1713" s="35"/>
      <c r="G1713" s="35"/>
      <c r="H1713" s="35"/>
      <c r="I1713" s="35"/>
      <c r="J1713" s="35"/>
      <c r="K1713" s="35"/>
      <c r="L1713" s="35"/>
      <c r="M1713" s="35"/>
    </row>
    <row r="1714" spans="2:13" x14ac:dyDescent="0.35">
      <c r="B1714" s="32"/>
      <c r="C1714" s="35"/>
      <c r="D1714" s="35"/>
      <c r="E1714" s="35"/>
      <c r="F1714" s="35"/>
      <c r="G1714" s="35"/>
      <c r="H1714" s="35"/>
      <c r="I1714" s="35"/>
      <c r="J1714" s="35"/>
      <c r="K1714" s="35"/>
      <c r="L1714" s="35"/>
      <c r="M1714" s="35"/>
    </row>
    <row r="1715" spans="2:13" x14ac:dyDescent="0.35">
      <c r="B1715" s="32"/>
      <c r="C1715" s="35"/>
      <c r="D1715" s="35"/>
      <c r="E1715" s="35"/>
      <c r="F1715" s="35"/>
      <c r="G1715" s="35"/>
      <c r="H1715" s="35"/>
      <c r="I1715" s="35"/>
      <c r="J1715" s="35"/>
      <c r="K1715" s="35"/>
      <c r="L1715" s="35"/>
      <c r="M1715" s="35"/>
    </row>
    <row r="1716" spans="2:13" x14ac:dyDescent="0.35">
      <c r="B1716" s="32"/>
      <c r="C1716" s="35"/>
      <c r="D1716" s="35"/>
      <c r="E1716" s="35"/>
      <c r="F1716" s="35"/>
      <c r="G1716" s="35"/>
      <c r="H1716" s="35"/>
      <c r="I1716" s="35"/>
      <c r="J1716" s="35"/>
      <c r="K1716" s="35"/>
      <c r="L1716" s="35"/>
      <c r="M1716" s="35"/>
    </row>
    <row r="1717" spans="2:13" x14ac:dyDescent="0.35">
      <c r="B1717" s="32"/>
      <c r="C1717" s="35"/>
      <c r="D1717" s="35"/>
      <c r="E1717" s="35"/>
      <c r="F1717" s="35"/>
      <c r="G1717" s="35"/>
      <c r="H1717" s="35"/>
      <c r="I1717" s="35"/>
      <c r="J1717" s="35"/>
      <c r="K1717" s="35"/>
      <c r="L1717" s="35"/>
      <c r="M1717" s="35"/>
    </row>
    <row r="1718" spans="2:13" x14ac:dyDescent="0.35">
      <c r="B1718" s="32"/>
      <c r="C1718" s="35"/>
      <c r="D1718" s="35"/>
      <c r="E1718" s="35"/>
      <c r="F1718" s="35"/>
      <c r="G1718" s="35"/>
      <c r="H1718" s="35"/>
      <c r="I1718" s="35"/>
      <c r="J1718" s="35"/>
      <c r="K1718" s="35"/>
      <c r="L1718" s="35"/>
      <c r="M1718" s="35"/>
    </row>
    <row r="1719" spans="2:13" x14ac:dyDescent="0.35">
      <c r="B1719" s="32"/>
      <c r="C1719" s="35"/>
      <c r="D1719" s="35"/>
      <c r="E1719" s="35"/>
      <c r="F1719" s="35"/>
      <c r="G1719" s="35"/>
      <c r="H1719" s="35"/>
      <c r="I1719" s="35"/>
      <c r="J1719" s="35"/>
      <c r="K1719" s="35"/>
      <c r="L1719" s="35"/>
      <c r="M1719" s="35"/>
    </row>
    <row r="1720" spans="2:13" x14ac:dyDescent="0.35">
      <c r="B1720" s="32"/>
      <c r="C1720" s="35"/>
      <c r="D1720" s="35"/>
      <c r="E1720" s="35"/>
      <c r="F1720" s="35"/>
      <c r="G1720" s="35"/>
      <c r="H1720" s="35"/>
      <c r="I1720" s="35"/>
      <c r="J1720" s="35"/>
      <c r="K1720" s="35"/>
      <c r="L1720" s="35"/>
      <c r="M1720" s="35"/>
    </row>
    <row r="1721" spans="2:13" x14ac:dyDescent="0.35">
      <c r="B1721" s="32"/>
      <c r="C1721" s="35"/>
      <c r="D1721" s="35"/>
      <c r="E1721" s="35"/>
      <c r="F1721" s="35"/>
      <c r="G1721" s="35"/>
      <c r="H1721" s="35"/>
      <c r="I1721" s="35"/>
      <c r="J1721" s="35"/>
      <c r="K1721" s="35"/>
      <c r="L1721" s="35"/>
      <c r="M1721" s="35"/>
    </row>
    <row r="1722" spans="2:13" x14ac:dyDescent="0.35">
      <c r="B1722" s="32"/>
      <c r="C1722" s="35"/>
      <c r="D1722" s="35"/>
      <c r="E1722" s="35"/>
      <c r="F1722" s="35"/>
      <c r="G1722" s="35"/>
      <c r="H1722" s="35"/>
      <c r="I1722" s="35"/>
      <c r="J1722" s="35"/>
      <c r="K1722" s="35"/>
      <c r="L1722" s="35"/>
      <c r="M1722" s="35"/>
    </row>
    <row r="1723" spans="2:13" x14ac:dyDescent="0.35">
      <c r="B1723" s="32"/>
      <c r="C1723" s="35"/>
      <c r="D1723" s="35"/>
      <c r="E1723" s="35"/>
      <c r="F1723" s="35"/>
      <c r="G1723" s="35"/>
      <c r="H1723" s="35"/>
      <c r="I1723" s="35"/>
      <c r="J1723" s="35"/>
      <c r="K1723" s="35"/>
      <c r="L1723" s="35"/>
      <c r="M1723" s="35"/>
    </row>
    <row r="1724" spans="2:13" x14ac:dyDescent="0.35">
      <c r="B1724" s="32"/>
      <c r="C1724" s="35"/>
      <c r="D1724" s="35"/>
      <c r="E1724" s="35"/>
      <c r="F1724" s="35"/>
      <c r="G1724" s="35"/>
      <c r="H1724" s="35"/>
      <c r="I1724" s="35"/>
      <c r="J1724" s="35"/>
      <c r="K1724" s="35"/>
      <c r="L1724" s="35"/>
      <c r="M1724" s="35"/>
    </row>
    <row r="1725" spans="2:13" x14ac:dyDescent="0.35">
      <c r="B1725" s="32"/>
      <c r="C1725" s="35"/>
      <c r="D1725" s="35"/>
      <c r="E1725" s="35"/>
      <c r="F1725" s="35"/>
      <c r="G1725" s="35"/>
      <c r="H1725" s="35"/>
      <c r="I1725" s="35"/>
      <c r="J1725" s="35"/>
      <c r="K1725" s="35"/>
      <c r="L1725" s="35"/>
      <c r="M1725" s="35"/>
    </row>
    <row r="1726" spans="2:13" x14ac:dyDescent="0.35">
      <c r="B1726" s="32"/>
      <c r="C1726" s="35"/>
      <c r="D1726" s="35"/>
      <c r="E1726" s="35"/>
      <c r="F1726" s="35"/>
      <c r="G1726" s="35"/>
      <c r="H1726" s="35"/>
      <c r="I1726" s="35"/>
      <c r="J1726" s="35"/>
      <c r="K1726" s="35"/>
      <c r="L1726" s="35"/>
      <c r="M1726" s="35"/>
    </row>
    <row r="1727" spans="2:13" x14ac:dyDescent="0.35">
      <c r="B1727" s="32"/>
      <c r="C1727" s="35"/>
      <c r="D1727" s="35"/>
      <c r="E1727" s="35"/>
      <c r="F1727" s="35"/>
      <c r="G1727" s="35"/>
      <c r="H1727" s="35"/>
      <c r="I1727" s="35"/>
      <c r="J1727" s="35"/>
      <c r="K1727" s="35"/>
      <c r="L1727" s="35"/>
      <c r="M1727" s="35"/>
    </row>
    <row r="1728" spans="2:13" x14ac:dyDescent="0.35">
      <c r="B1728" s="32"/>
      <c r="C1728" s="35"/>
      <c r="D1728" s="35"/>
      <c r="E1728" s="35"/>
      <c r="F1728" s="35"/>
      <c r="G1728" s="35"/>
      <c r="H1728" s="35"/>
      <c r="I1728" s="35"/>
      <c r="J1728" s="35"/>
      <c r="K1728" s="35"/>
      <c r="L1728" s="35"/>
      <c r="M1728" s="35"/>
    </row>
    <row r="1729" spans="2:13" x14ac:dyDescent="0.35">
      <c r="B1729" s="32"/>
      <c r="C1729" s="35"/>
      <c r="D1729" s="35"/>
      <c r="E1729" s="35"/>
      <c r="F1729" s="35"/>
      <c r="G1729" s="35"/>
      <c r="H1729" s="35"/>
      <c r="I1729" s="35"/>
      <c r="J1729" s="35"/>
      <c r="K1729" s="35"/>
      <c r="L1729" s="35"/>
      <c r="M1729" s="35"/>
    </row>
    <row r="1730" spans="2:13" x14ac:dyDescent="0.35">
      <c r="B1730" s="32"/>
      <c r="C1730" s="35"/>
      <c r="D1730" s="35"/>
      <c r="E1730" s="35"/>
      <c r="F1730" s="35"/>
      <c r="G1730" s="35"/>
      <c r="H1730" s="35"/>
      <c r="I1730" s="35"/>
      <c r="J1730" s="35"/>
      <c r="K1730" s="35"/>
      <c r="L1730" s="35"/>
      <c r="M1730" s="35"/>
    </row>
    <row r="1731" spans="2:13" x14ac:dyDescent="0.35">
      <c r="B1731" s="32"/>
      <c r="C1731" s="35"/>
      <c r="D1731" s="35"/>
      <c r="E1731" s="35"/>
      <c r="F1731" s="35"/>
      <c r="G1731" s="35"/>
      <c r="H1731" s="35"/>
      <c r="I1731" s="35"/>
      <c r="J1731" s="35"/>
      <c r="K1731" s="35"/>
      <c r="L1731" s="35"/>
      <c r="M1731" s="35"/>
    </row>
    <row r="1732" spans="2:13" x14ac:dyDescent="0.35">
      <c r="B1732" s="32"/>
      <c r="C1732" s="35"/>
      <c r="D1732" s="35"/>
      <c r="E1732" s="35"/>
      <c r="F1732" s="35"/>
      <c r="G1732" s="35"/>
      <c r="H1732" s="35"/>
      <c r="I1732" s="35"/>
      <c r="J1732" s="35"/>
      <c r="K1732" s="35"/>
      <c r="L1732" s="35"/>
      <c r="M1732" s="35"/>
    </row>
    <row r="1733" spans="2:13" x14ac:dyDescent="0.35">
      <c r="B1733" s="32"/>
      <c r="C1733" s="35"/>
      <c r="D1733" s="35"/>
      <c r="E1733" s="35"/>
      <c r="F1733" s="35"/>
      <c r="G1733" s="35"/>
      <c r="H1733" s="35"/>
      <c r="I1733" s="35"/>
      <c r="J1733" s="35"/>
      <c r="K1733" s="35"/>
      <c r="L1733" s="35"/>
      <c r="M1733" s="35"/>
    </row>
    <row r="1734" spans="2:13" x14ac:dyDescent="0.35">
      <c r="B1734" s="32"/>
      <c r="C1734" s="35"/>
      <c r="D1734" s="35"/>
      <c r="E1734" s="35"/>
      <c r="F1734" s="35"/>
      <c r="G1734" s="35"/>
      <c r="H1734" s="35"/>
      <c r="I1734" s="35"/>
      <c r="J1734" s="35"/>
      <c r="K1734" s="35"/>
      <c r="L1734" s="35"/>
      <c r="M1734" s="35"/>
    </row>
    <row r="1735" spans="2:13" x14ac:dyDescent="0.35">
      <c r="B1735" s="32"/>
      <c r="C1735" s="35"/>
      <c r="D1735" s="35"/>
      <c r="E1735" s="35"/>
      <c r="F1735" s="35"/>
      <c r="G1735" s="35"/>
      <c r="H1735" s="35"/>
      <c r="I1735" s="35"/>
      <c r="J1735" s="35"/>
      <c r="K1735" s="35"/>
      <c r="L1735" s="35"/>
      <c r="M1735" s="35"/>
    </row>
    <row r="1736" spans="2:13" x14ac:dyDescent="0.35">
      <c r="B1736" s="32"/>
      <c r="C1736" s="35"/>
      <c r="D1736" s="35"/>
      <c r="E1736" s="35"/>
      <c r="F1736" s="35"/>
      <c r="G1736" s="35"/>
      <c r="H1736" s="35"/>
      <c r="I1736" s="35"/>
      <c r="J1736" s="35"/>
      <c r="K1736" s="35"/>
      <c r="L1736" s="35"/>
      <c r="M1736" s="35"/>
    </row>
    <row r="1737" spans="2:13" x14ac:dyDescent="0.35">
      <c r="B1737" s="32"/>
      <c r="C1737" s="35"/>
      <c r="D1737" s="35"/>
      <c r="E1737" s="35"/>
      <c r="F1737" s="35"/>
      <c r="G1737" s="35"/>
      <c r="H1737" s="35"/>
      <c r="I1737" s="35"/>
      <c r="J1737" s="35"/>
      <c r="K1737" s="35"/>
      <c r="L1737" s="35"/>
      <c r="M1737" s="35"/>
    </row>
    <row r="1738" spans="2:13" x14ac:dyDescent="0.35">
      <c r="B1738" s="32"/>
      <c r="C1738" s="35"/>
      <c r="D1738" s="35"/>
      <c r="E1738" s="35"/>
      <c r="F1738" s="35"/>
      <c r="G1738" s="35"/>
      <c r="H1738" s="35"/>
      <c r="I1738" s="35"/>
      <c r="J1738" s="35"/>
      <c r="K1738" s="35"/>
      <c r="L1738" s="35"/>
      <c r="M1738" s="35"/>
    </row>
    <row r="1739" spans="2:13" x14ac:dyDescent="0.35">
      <c r="B1739" s="32"/>
      <c r="C1739" s="35"/>
      <c r="D1739" s="35"/>
      <c r="E1739" s="35"/>
      <c r="F1739" s="35"/>
      <c r="G1739" s="35"/>
      <c r="H1739" s="35"/>
      <c r="I1739" s="35"/>
      <c r="J1739" s="35"/>
      <c r="K1739" s="35"/>
      <c r="L1739" s="35"/>
      <c r="M1739" s="35"/>
    </row>
    <row r="1740" spans="2:13" x14ac:dyDescent="0.35">
      <c r="B1740" s="32"/>
      <c r="C1740" s="35"/>
      <c r="D1740" s="35"/>
      <c r="E1740" s="35"/>
      <c r="F1740" s="35"/>
      <c r="G1740" s="35"/>
      <c r="H1740" s="35"/>
      <c r="I1740" s="35"/>
      <c r="J1740" s="35"/>
      <c r="K1740" s="35"/>
      <c r="L1740" s="35"/>
      <c r="M1740" s="35"/>
    </row>
    <row r="1741" spans="2:13" x14ac:dyDescent="0.35">
      <c r="B1741" s="32"/>
      <c r="C1741" s="35"/>
      <c r="D1741" s="35"/>
      <c r="E1741" s="35"/>
      <c r="F1741" s="35"/>
      <c r="G1741" s="35"/>
      <c r="H1741" s="35"/>
      <c r="I1741" s="35"/>
      <c r="J1741" s="35"/>
      <c r="K1741" s="35"/>
      <c r="L1741" s="35"/>
      <c r="M1741" s="35"/>
    </row>
    <row r="1742" spans="2:13" x14ac:dyDescent="0.35">
      <c r="B1742" s="32"/>
      <c r="C1742" s="35"/>
      <c r="D1742" s="35"/>
      <c r="E1742" s="35"/>
      <c r="F1742" s="35"/>
      <c r="G1742" s="35"/>
      <c r="H1742" s="35"/>
      <c r="I1742" s="35"/>
      <c r="J1742" s="35"/>
      <c r="K1742" s="35"/>
      <c r="L1742" s="35"/>
      <c r="M1742" s="35"/>
    </row>
    <row r="1743" spans="2:13" x14ac:dyDescent="0.35">
      <c r="B1743" s="32"/>
      <c r="C1743" s="35"/>
      <c r="D1743" s="35"/>
      <c r="E1743" s="35"/>
      <c r="F1743" s="35"/>
      <c r="G1743" s="35"/>
      <c r="H1743" s="35"/>
      <c r="I1743" s="35"/>
      <c r="J1743" s="35"/>
      <c r="K1743" s="35"/>
      <c r="L1743" s="35"/>
      <c r="M1743" s="35"/>
    </row>
    <row r="1744" spans="2:13" x14ac:dyDescent="0.35">
      <c r="B1744" s="32"/>
      <c r="C1744" s="35"/>
      <c r="D1744" s="35"/>
      <c r="E1744" s="35"/>
      <c r="F1744" s="35"/>
      <c r="G1744" s="35"/>
      <c r="H1744" s="35"/>
      <c r="I1744" s="35"/>
      <c r="J1744" s="35"/>
      <c r="K1744" s="35"/>
      <c r="L1744" s="35"/>
      <c r="M1744" s="35"/>
    </row>
    <row r="1745" spans="2:13" x14ac:dyDescent="0.35">
      <c r="B1745" s="32"/>
      <c r="C1745" s="35"/>
      <c r="D1745" s="35"/>
      <c r="E1745" s="35"/>
      <c r="F1745" s="35"/>
      <c r="G1745" s="35"/>
      <c r="H1745" s="35"/>
      <c r="I1745" s="35"/>
      <c r="J1745" s="35"/>
      <c r="K1745" s="35"/>
      <c r="L1745" s="35"/>
      <c r="M1745" s="35"/>
    </row>
    <row r="1746" spans="2:13" x14ac:dyDescent="0.35">
      <c r="B1746" s="32"/>
      <c r="C1746" s="35"/>
      <c r="D1746" s="35"/>
      <c r="E1746" s="35"/>
      <c r="F1746" s="35"/>
      <c r="G1746" s="35"/>
      <c r="H1746" s="35"/>
      <c r="I1746" s="35"/>
      <c r="J1746" s="35"/>
      <c r="K1746" s="35"/>
      <c r="L1746" s="35"/>
      <c r="M1746" s="35"/>
    </row>
    <row r="1747" spans="2:13" x14ac:dyDescent="0.35">
      <c r="B1747" s="32"/>
      <c r="C1747" s="35"/>
      <c r="D1747" s="35"/>
      <c r="E1747" s="35"/>
      <c r="F1747" s="35"/>
      <c r="G1747" s="35"/>
      <c r="H1747" s="35"/>
      <c r="I1747" s="35"/>
      <c r="J1747" s="35"/>
      <c r="K1747" s="35"/>
      <c r="L1747" s="35"/>
      <c r="M1747" s="35"/>
    </row>
    <row r="1748" spans="2:13" x14ac:dyDescent="0.35">
      <c r="B1748" s="32"/>
      <c r="C1748" s="35"/>
      <c r="D1748" s="35"/>
      <c r="E1748" s="35"/>
      <c r="F1748" s="35"/>
      <c r="G1748" s="35"/>
      <c r="H1748" s="35"/>
      <c r="I1748" s="35"/>
      <c r="J1748" s="35"/>
      <c r="K1748" s="35"/>
      <c r="L1748" s="35"/>
      <c r="M1748" s="35"/>
    </row>
    <row r="1749" spans="2:13" x14ac:dyDescent="0.35">
      <c r="B1749" s="32"/>
      <c r="C1749" s="35"/>
      <c r="D1749" s="35"/>
      <c r="E1749" s="35"/>
      <c r="F1749" s="35"/>
      <c r="G1749" s="35"/>
      <c r="H1749" s="35"/>
      <c r="I1749" s="35"/>
      <c r="J1749" s="35"/>
      <c r="K1749" s="35"/>
      <c r="L1749" s="35"/>
      <c r="M1749" s="35"/>
    </row>
    <row r="1750" spans="2:13" x14ac:dyDescent="0.35">
      <c r="B1750" s="32"/>
      <c r="C1750" s="35"/>
      <c r="D1750" s="35"/>
      <c r="E1750" s="35"/>
      <c r="F1750" s="35"/>
      <c r="G1750" s="35"/>
      <c r="H1750" s="35"/>
      <c r="I1750" s="35"/>
      <c r="J1750" s="35"/>
      <c r="K1750" s="35"/>
      <c r="L1750" s="35"/>
      <c r="M1750" s="35"/>
    </row>
    <row r="1751" spans="2:13" x14ac:dyDescent="0.35">
      <c r="B1751" s="32"/>
      <c r="C1751" s="35"/>
      <c r="D1751" s="35"/>
      <c r="E1751" s="35"/>
      <c r="F1751" s="35"/>
      <c r="G1751" s="35"/>
      <c r="H1751" s="35"/>
      <c r="I1751" s="35"/>
      <c r="J1751" s="35"/>
      <c r="K1751" s="35"/>
      <c r="L1751" s="35"/>
      <c r="M1751" s="35"/>
    </row>
    <row r="1752" spans="2:13" x14ac:dyDescent="0.35">
      <c r="B1752" s="32"/>
      <c r="C1752" s="35"/>
      <c r="D1752" s="35"/>
      <c r="E1752" s="35"/>
      <c r="F1752" s="35"/>
      <c r="G1752" s="35"/>
      <c r="H1752" s="35"/>
      <c r="I1752" s="35"/>
      <c r="J1752" s="35"/>
      <c r="K1752" s="35"/>
      <c r="L1752" s="35"/>
      <c r="M1752" s="35"/>
    </row>
    <row r="1753" spans="2:13" x14ac:dyDescent="0.35">
      <c r="B1753" s="32"/>
      <c r="C1753" s="35"/>
      <c r="D1753" s="35"/>
      <c r="E1753" s="35"/>
      <c r="F1753" s="35"/>
      <c r="G1753" s="35"/>
      <c r="H1753" s="35"/>
      <c r="I1753" s="35"/>
      <c r="J1753" s="35"/>
      <c r="K1753" s="35"/>
      <c r="L1753" s="35"/>
      <c r="M1753" s="35"/>
    </row>
    <row r="1754" spans="2:13" x14ac:dyDescent="0.35">
      <c r="B1754" s="32"/>
      <c r="C1754" s="35"/>
      <c r="D1754" s="35"/>
      <c r="E1754" s="35"/>
      <c r="F1754" s="35"/>
      <c r="G1754" s="35"/>
      <c r="H1754" s="35"/>
      <c r="I1754" s="35"/>
      <c r="J1754" s="35"/>
      <c r="K1754" s="35"/>
      <c r="L1754" s="35"/>
      <c r="M1754" s="35"/>
    </row>
    <row r="1755" spans="2:13" x14ac:dyDescent="0.35">
      <c r="B1755" s="32"/>
      <c r="C1755" s="35"/>
      <c r="D1755" s="35"/>
      <c r="E1755" s="35"/>
      <c r="F1755" s="35"/>
      <c r="G1755" s="35"/>
      <c r="H1755" s="35"/>
      <c r="I1755" s="35"/>
      <c r="J1755" s="35"/>
      <c r="K1755" s="35"/>
      <c r="L1755" s="35"/>
      <c r="M1755" s="35"/>
    </row>
    <row r="1756" spans="2:13" x14ac:dyDescent="0.35">
      <c r="B1756" s="32"/>
      <c r="C1756" s="35"/>
      <c r="D1756" s="35"/>
      <c r="E1756" s="35"/>
      <c r="F1756" s="35"/>
      <c r="G1756" s="35"/>
      <c r="H1756" s="35"/>
      <c r="I1756" s="35"/>
      <c r="J1756" s="35"/>
      <c r="K1756" s="35"/>
      <c r="L1756" s="35"/>
      <c r="M1756" s="35"/>
    </row>
    <row r="1757" spans="2:13" x14ac:dyDescent="0.35">
      <c r="B1757" s="32"/>
      <c r="C1757" s="35"/>
      <c r="D1757" s="35"/>
      <c r="E1757" s="35"/>
      <c r="F1757" s="35"/>
      <c r="G1757" s="35"/>
      <c r="H1757" s="35"/>
      <c r="I1757" s="35"/>
      <c r="J1757" s="35"/>
      <c r="K1757" s="35"/>
      <c r="L1757" s="35"/>
      <c r="M1757" s="35"/>
    </row>
    <row r="1758" spans="2:13" x14ac:dyDescent="0.35">
      <c r="B1758" s="32"/>
      <c r="C1758" s="35"/>
      <c r="D1758" s="35"/>
      <c r="E1758" s="35"/>
      <c r="F1758" s="35"/>
      <c r="G1758" s="35"/>
      <c r="H1758" s="35"/>
      <c r="I1758" s="35"/>
      <c r="J1758" s="35"/>
      <c r="K1758" s="35"/>
      <c r="L1758" s="35"/>
      <c r="M1758" s="35"/>
    </row>
    <row r="1759" spans="2:13" x14ac:dyDescent="0.35">
      <c r="B1759" s="32"/>
      <c r="C1759" s="35"/>
      <c r="D1759" s="35"/>
      <c r="E1759" s="35"/>
      <c r="F1759" s="35"/>
      <c r="G1759" s="35"/>
      <c r="H1759" s="35"/>
      <c r="I1759" s="35"/>
      <c r="J1759" s="35"/>
      <c r="K1759" s="35"/>
      <c r="L1759" s="35"/>
      <c r="M1759" s="35"/>
    </row>
    <row r="1760" spans="2:13" x14ac:dyDescent="0.35">
      <c r="B1760" s="32"/>
      <c r="C1760" s="35"/>
      <c r="D1760" s="35"/>
      <c r="E1760" s="35"/>
      <c r="F1760" s="35"/>
      <c r="G1760" s="35"/>
      <c r="H1760" s="35"/>
      <c r="I1760" s="35"/>
      <c r="J1760" s="35"/>
      <c r="K1760" s="35"/>
      <c r="L1760" s="35"/>
      <c r="M1760" s="35"/>
    </row>
    <row r="1761" spans="2:13" x14ac:dyDescent="0.35">
      <c r="B1761" s="32"/>
      <c r="C1761" s="35"/>
      <c r="D1761" s="35"/>
      <c r="E1761" s="35"/>
      <c r="F1761" s="35"/>
      <c r="G1761" s="35"/>
      <c r="H1761" s="35"/>
      <c r="I1761" s="35"/>
      <c r="J1761" s="35"/>
      <c r="K1761" s="35"/>
      <c r="L1761" s="35"/>
      <c r="M1761" s="35"/>
    </row>
    <row r="1762" spans="2:13" x14ac:dyDescent="0.35">
      <c r="B1762" s="32"/>
      <c r="C1762" s="35"/>
      <c r="D1762" s="35"/>
      <c r="E1762" s="35"/>
      <c r="F1762" s="35"/>
      <c r="G1762" s="35"/>
      <c r="H1762" s="35"/>
      <c r="I1762" s="35"/>
      <c r="J1762" s="35"/>
      <c r="K1762" s="35"/>
      <c r="L1762" s="35"/>
      <c r="M1762" s="35"/>
    </row>
    <row r="1763" spans="2:13" x14ac:dyDescent="0.35">
      <c r="B1763" s="32"/>
      <c r="C1763" s="35"/>
      <c r="D1763" s="35"/>
      <c r="E1763" s="35"/>
      <c r="F1763" s="35"/>
      <c r="G1763" s="35"/>
      <c r="H1763" s="35"/>
      <c r="I1763" s="35"/>
      <c r="J1763" s="35"/>
      <c r="K1763" s="35"/>
      <c r="L1763" s="35"/>
      <c r="M1763" s="35"/>
    </row>
    <row r="1764" spans="2:13" x14ac:dyDescent="0.35">
      <c r="B1764" s="32"/>
      <c r="C1764" s="35"/>
      <c r="D1764" s="35"/>
      <c r="E1764" s="35"/>
      <c r="F1764" s="35"/>
      <c r="G1764" s="35"/>
      <c r="H1764" s="35"/>
      <c r="I1764" s="35"/>
      <c r="J1764" s="35"/>
      <c r="K1764" s="35"/>
      <c r="L1764" s="35"/>
      <c r="M1764" s="35"/>
    </row>
    <row r="1765" spans="2:13" x14ac:dyDescent="0.35">
      <c r="B1765" s="32"/>
      <c r="C1765" s="35"/>
      <c r="D1765" s="35"/>
      <c r="E1765" s="35"/>
      <c r="F1765" s="35"/>
      <c r="G1765" s="35"/>
      <c r="H1765" s="35"/>
      <c r="I1765" s="35"/>
      <c r="J1765" s="35"/>
      <c r="K1765" s="35"/>
      <c r="L1765" s="35"/>
      <c r="M1765" s="35"/>
    </row>
    <row r="1766" spans="2:13" x14ac:dyDescent="0.35">
      <c r="B1766" s="32"/>
      <c r="C1766" s="35"/>
      <c r="D1766" s="35"/>
      <c r="E1766" s="35"/>
      <c r="F1766" s="35"/>
      <c r="G1766" s="35"/>
      <c r="H1766" s="35"/>
      <c r="I1766" s="35"/>
      <c r="J1766" s="35"/>
      <c r="K1766" s="35"/>
      <c r="L1766" s="35"/>
      <c r="M1766" s="35"/>
    </row>
    <row r="1767" spans="2:13" x14ac:dyDescent="0.35">
      <c r="B1767" s="32"/>
      <c r="C1767" s="35"/>
      <c r="D1767" s="35"/>
      <c r="E1767" s="35"/>
      <c r="F1767" s="35"/>
      <c r="G1767" s="35"/>
      <c r="H1767" s="35"/>
      <c r="I1767" s="35"/>
      <c r="J1767" s="35"/>
      <c r="K1767" s="35"/>
      <c r="L1767" s="35"/>
      <c r="M1767" s="35"/>
    </row>
    <row r="1768" spans="2:13" x14ac:dyDescent="0.35">
      <c r="B1768" s="32"/>
      <c r="C1768" s="35"/>
      <c r="D1768" s="35"/>
      <c r="E1768" s="35"/>
      <c r="F1768" s="35"/>
      <c r="G1768" s="35"/>
      <c r="H1768" s="35"/>
      <c r="I1768" s="35"/>
      <c r="J1768" s="35"/>
      <c r="K1768" s="35"/>
      <c r="L1768" s="35"/>
      <c r="M1768" s="35"/>
    </row>
    <row r="1769" spans="2:13" x14ac:dyDescent="0.35">
      <c r="B1769" s="32"/>
      <c r="C1769" s="35"/>
      <c r="D1769" s="35"/>
      <c r="E1769" s="35"/>
      <c r="F1769" s="35"/>
      <c r="G1769" s="35"/>
      <c r="H1769" s="35"/>
      <c r="I1769" s="35"/>
      <c r="J1769" s="35"/>
      <c r="K1769" s="35"/>
      <c r="L1769" s="35"/>
      <c r="M1769" s="35"/>
    </row>
    <row r="1770" spans="2:13" x14ac:dyDescent="0.35">
      <c r="B1770" s="32"/>
      <c r="C1770" s="35"/>
      <c r="D1770" s="35"/>
      <c r="E1770" s="35"/>
      <c r="F1770" s="35"/>
      <c r="G1770" s="35"/>
      <c r="H1770" s="35"/>
      <c r="I1770" s="35"/>
      <c r="J1770" s="35"/>
      <c r="K1770" s="35"/>
      <c r="L1770" s="35"/>
      <c r="M1770" s="35"/>
    </row>
    <row r="1771" spans="2:13" x14ac:dyDescent="0.35">
      <c r="B1771" s="32"/>
      <c r="C1771" s="35"/>
      <c r="D1771" s="35"/>
      <c r="E1771" s="35"/>
      <c r="F1771" s="35"/>
      <c r="G1771" s="35"/>
      <c r="H1771" s="35"/>
      <c r="I1771" s="35"/>
      <c r="J1771" s="35"/>
      <c r="K1771" s="35"/>
      <c r="L1771" s="35"/>
      <c r="M1771" s="35"/>
    </row>
    <row r="1772" spans="2:13" x14ac:dyDescent="0.35">
      <c r="B1772" s="32"/>
      <c r="C1772" s="35"/>
      <c r="D1772" s="35"/>
      <c r="E1772" s="35"/>
      <c r="F1772" s="35"/>
      <c r="G1772" s="35"/>
      <c r="H1772" s="35"/>
      <c r="I1772" s="35"/>
      <c r="J1772" s="35"/>
      <c r="K1772" s="35"/>
      <c r="L1772" s="35"/>
      <c r="M1772" s="35"/>
    </row>
    <row r="1773" spans="2:13" x14ac:dyDescent="0.35">
      <c r="B1773" s="32"/>
      <c r="C1773" s="35"/>
      <c r="D1773" s="35"/>
      <c r="E1773" s="35"/>
      <c r="F1773" s="35"/>
      <c r="G1773" s="35"/>
      <c r="H1773" s="35"/>
      <c r="I1773" s="35"/>
      <c r="J1773" s="35"/>
      <c r="K1773" s="35"/>
      <c r="L1773" s="35"/>
      <c r="M1773" s="35"/>
    </row>
    <row r="1774" spans="2:13" x14ac:dyDescent="0.35">
      <c r="B1774" s="32"/>
      <c r="C1774" s="35"/>
      <c r="D1774" s="35"/>
      <c r="E1774" s="35"/>
      <c r="F1774" s="35"/>
      <c r="G1774" s="35"/>
      <c r="H1774" s="35"/>
      <c r="I1774" s="35"/>
      <c r="J1774" s="35"/>
      <c r="K1774" s="35"/>
      <c r="L1774" s="35"/>
      <c r="M1774" s="35"/>
    </row>
    <row r="1775" spans="2:13" x14ac:dyDescent="0.35">
      <c r="B1775" s="32"/>
      <c r="C1775" s="35"/>
      <c r="D1775" s="35"/>
      <c r="E1775" s="35"/>
      <c r="F1775" s="35"/>
      <c r="G1775" s="35"/>
      <c r="H1775" s="35"/>
      <c r="I1775" s="35"/>
      <c r="J1775" s="35"/>
      <c r="K1775" s="35"/>
      <c r="L1775" s="35"/>
      <c r="M1775" s="35"/>
    </row>
    <row r="1776" spans="2:13" x14ac:dyDescent="0.35">
      <c r="B1776" s="32"/>
      <c r="C1776" s="35"/>
      <c r="D1776" s="35"/>
      <c r="E1776" s="35"/>
      <c r="F1776" s="35"/>
      <c r="G1776" s="35"/>
      <c r="H1776" s="35"/>
      <c r="I1776" s="35"/>
      <c r="J1776" s="35"/>
      <c r="K1776" s="35"/>
      <c r="L1776" s="35"/>
      <c r="M1776" s="35"/>
    </row>
    <row r="1777" spans="2:13" x14ac:dyDescent="0.35">
      <c r="B1777" s="32"/>
      <c r="C1777" s="35"/>
      <c r="D1777" s="35"/>
      <c r="E1777" s="35"/>
      <c r="F1777" s="35"/>
      <c r="G1777" s="35"/>
      <c r="H1777" s="35"/>
      <c r="I1777" s="35"/>
      <c r="J1777" s="35"/>
      <c r="K1777" s="35"/>
      <c r="L1777" s="35"/>
      <c r="M1777" s="35"/>
    </row>
    <row r="1778" spans="2:13" x14ac:dyDescent="0.35">
      <c r="B1778" s="32"/>
      <c r="C1778" s="35"/>
      <c r="D1778" s="35"/>
      <c r="E1778" s="35"/>
      <c r="F1778" s="35"/>
      <c r="G1778" s="35"/>
      <c r="H1778" s="35"/>
      <c r="I1778" s="35"/>
      <c r="J1778" s="35"/>
      <c r="K1778" s="35"/>
      <c r="L1778" s="35"/>
      <c r="M1778" s="35"/>
    </row>
    <row r="1779" spans="2:13" x14ac:dyDescent="0.35">
      <c r="B1779" s="32"/>
      <c r="C1779" s="35"/>
      <c r="D1779" s="35"/>
      <c r="E1779" s="35"/>
      <c r="F1779" s="35"/>
      <c r="G1779" s="35"/>
      <c r="H1779" s="35"/>
      <c r="I1779" s="35"/>
      <c r="J1779" s="35"/>
      <c r="K1779" s="35"/>
      <c r="L1779" s="35"/>
      <c r="M1779" s="35"/>
    </row>
    <row r="1780" spans="2:13" x14ac:dyDescent="0.35">
      <c r="B1780" s="32"/>
      <c r="C1780" s="35"/>
      <c r="D1780" s="35"/>
      <c r="E1780" s="35"/>
      <c r="F1780" s="35"/>
      <c r="G1780" s="35"/>
      <c r="H1780" s="35"/>
      <c r="I1780" s="35"/>
      <c r="J1780" s="35"/>
      <c r="K1780" s="35"/>
      <c r="L1780" s="35"/>
      <c r="M1780" s="35"/>
    </row>
    <row r="1781" spans="2:13" x14ac:dyDescent="0.35">
      <c r="B1781" s="32"/>
      <c r="C1781" s="35"/>
      <c r="D1781" s="35"/>
      <c r="E1781" s="35"/>
      <c r="F1781" s="35"/>
      <c r="G1781" s="35"/>
      <c r="H1781" s="35"/>
      <c r="I1781" s="35"/>
      <c r="J1781" s="35"/>
      <c r="K1781" s="35"/>
      <c r="L1781" s="35"/>
      <c r="M1781" s="35"/>
    </row>
    <row r="1782" spans="2:13" x14ac:dyDescent="0.35">
      <c r="B1782" s="32"/>
      <c r="C1782" s="35"/>
      <c r="D1782" s="35"/>
      <c r="E1782" s="35"/>
      <c r="F1782" s="35"/>
      <c r="G1782" s="35"/>
      <c r="H1782" s="35"/>
      <c r="I1782" s="35"/>
      <c r="J1782" s="35"/>
      <c r="K1782" s="35"/>
      <c r="L1782" s="35"/>
      <c r="M1782" s="35"/>
    </row>
    <row r="1783" spans="2:13" x14ac:dyDescent="0.35">
      <c r="B1783" s="32"/>
      <c r="C1783" s="35"/>
      <c r="D1783" s="35"/>
      <c r="E1783" s="35"/>
      <c r="F1783" s="35"/>
      <c r="G1783" s="35"/>
      <c r="H1783" s="35"/>
      <c r="I1783" s="35"/>
      <c r="J1783" s="35"/>
      <c r="K1783" s="35"/>
      <c r="L1783" s="35"/>
      <c r="M1783" s="35"/>
    </row>
    <row r="1784" spans="2:13" x14ac:dyDescent="0.35">
      <c r="B1784" s="32"/>
      <c r="C1784" s="35"/>
      <c r="D1784" s="35"/>
      <c r="E1784" s="35"/>
      <c r="F1784" s="35"/>
      <c r="G1784" s="35"/>
      <c r="H1784" s="35"/>
      <c r="I1784" s="35"/>
      <c r="J1784" s="35"/>
      <c r="K1784" s="35"/>
      <c r="L1784" s="35"/>
      <c r="M1784" s="35"/>
    </row>
    <row r="1785" spans="2:13" x14ac:dyDescent="0.35">
      <c r="B1785" s="32"/>
      <c r="C1785" s="35"/>
      <c r="D1785" s="35"/>
      <c r="E1785" s="35"/>
      <c r="F1785" s="35"/>
      <c r="G1785" s="35"/>
      <c r="H1785" s="35"/>
      <c r="I1785" s="35"/>
      <c r="J1785" s="35"/>
      <c r="K1785" s="35"/>
      <c r="L1785" s="35"/>
      <c r="M1785" s="35"/>
    </row>
    <row r="1786" spans="2:13" x14ac:dyDescent="0.35">
      <c r="B1786" s="32"/>
      <c r="C1786" s="35"/>
      <c r="D1786" s="35"/>
      <c r="E1786" s="35"/>
      <c r="F1786" s="35"/>
      <c r="G1786" s="35"/>
      <c r="H1786" s="35"/>
      <c r="I1786" s="35"/>
      <c r="J1786" s="35"/>
      <c r="K1786" s="35"/>
      <c r="L1786" s="35"/>
      <c r="M1786" s="35"/>
    </row>
    <row r="1787" spans="2:13" x14ac:dyDescent="0.35">
      <c r="B1787" s="32"/>
      <c r="C1787" s="35"/>
      <c r="D1787" s="35"/>
      <c r="E1787" s="35"/>
      <c r="F1787" s="35"/>
      <c r="G1787" s="35"/>
      <c r="H1787" s="35"/>
      <c r="I1787" s="35"/>
      <c r="J1787" s="35"/>
      <c r="K1787" s="35"/>
      <c r="L1787" s="35"/>
      <c r="M1787" s="35"/>
    </row>
    <row r="1788" spans="2:13" x14ac:dyDescent="0.35">
      <c r="B1788" s="32"/>
      <c r="C1788" s="35"/>
      <c r="D1788" s="35"/>
      <c r="E1788" s="35"/>
      <c r="F1788" s="35"/>
      <c r="G1788" s="35"/>
      <c r="H1788" s="35"/>
      <c r="I1788" s="35"/>
      <c r="J1788" s="35"/>
      <c r="K1788" s="35"/>
      <c r="L1788" s="35"/>
      <c r="M1788" s="35"/>
    </row>
    <row r="1789" spans="2:13" x14ac:dyDescent="0.35">
      <c r="B1789" s="32"/>
      <c r="C1789" s="35"/>
      <c r="D1789" s="35"/>
      <c r="E1789" s="35"/>
      <c r="F1789" s="35"/>
      <c r="G1789" s="35"/>
      <c r="H1789" s="35"/>
      <c r="I1789" s="35"/>
      <c r="J1789" s="35"/>
      <c r="K1789" s="35"/>
      <c r="L1789" s="35"/>
      <c r="M1789" s="35"/>
    </row>
    <row r="1790" spans="2:13" x14ac:dyDescent="0.35">
      <c r="B1790" s="32"/>
      <c r="C1790" s="35"/>
      <c r="D1790" s="35"/>
      <c r="E1790" s="35"/>
      <c r="F1790" s="35"/>
      <c r="G1790" s="35"/>
      <c r="H1790" s="35"/>
      <c r="I1790" s="35"/>
      <c r="J1790" s="35"/>
      <c r="K1790" s="35"/>
      <c r="L1790" s="35"/>
      <c r="M1790" s="35"/>
    </row>
    <row r="1791" spans="2:13" x14ac:dyDescent="0.35">
      <c r="B1791" s="32"/>
      <c r="C1791" s="35"/>
      <c r="D1791" s="35"/>
      <c r="E1791" s="35"/>
      <c r="F1791" s="35"/>
      <c r="G1791" s="35"/>
      <c r="H1791" s="35"/>
      <c r="I1791" s="35"/>
      <c r="J1791" s="35"/>
      <c r="K1791" s="35"/>
      <c r="L1791" s="35"/>
      <c r="M1791" s="35"/>
    </row>
    <row r="1792" spans="2:13" x14ac:dyDescent="0.35">
      <c r="B1792" s="32"/>
      <c r="C1792" s="35"/>
      <c r="D1792" s="35"/>
      <c r="E1792" s="35"/>
      <c r="F1792" s="35"/>
      <c r="G1792" s="35"/>
      <c r="H1792" s="35"/>
      <c r="I1792" s="35"/>
      <c r="J1792" s="35"/>
      <c r="K1792" s="35"/>
      <c r="L1792" s="35"/>
      <c r="M1792" s="35"/>
    </row>
    <row r="1793" spans="2:13" x14ac:dyDescent="0.35">
      <c r="B1793" s="32"/>
      <c r="C1793" s="35"/>
      <c r="D1793" s="35"/>
      <c r="E1793" s="35"/>
      <c r="F1793" s="35"/>
      <c r="G1793" s="35"/>
      <c r="H1793" s="35"/>
      <c r="I1793" s="35"/>
      <c r="J1793" s="35"/>
      <c r="K1793" s="35"/>
      <c r="L1793" s="35"/>
      <c r="M1793" s="35"/>
    </row>
    <row r="1794" spans="2:13" x14ac:dyDescent="0.35">
      <c r="B1794" s="32"/>
      <c r="C1794" s="35"/>
      <c r="D1794" s="35"/>
      <c r="E1794" s="35"/>
      <c r="F1794" s="35"/>
      <c r="G1794" s="35"/>
      <c r="H1794" s="35"/>
      <c r="I1794" s="35"/>
      <c r="J1794" s="35"/>
      <c r="K1794" s="35"/>
      <c r="L1794" s="35"/>
      <c r="M1794" s="35"/>
    </row>
    <row r="1795" spans="2:13" x14ac:dyDescent="0.35">
      <c r="B1795" s="32"/>
      <c r="C1795" s="35"/>
      <c r="D1795" s="35"/>
      <c r="E1795" s="35"/>
      <c r="F1795" s="35"/>
      <c r="G1795" s="35"/>
      <c r="H1795" s="35"/>
      <c r="I1795" s="35"/>
      <c r="J1795" s="35"/>
      <c r="K1795" s="35"/>
      <c r="L1795" s="35"/>
      <c r="M1795" s="35"/>
    </row>
    <row r="1796" spans="2:13" x14ac:dyDescent="0.35">
      <c r="B1796" s="32"/>
      <c r="C1796" s="35"/>
      <c r="D1796" s="35"/>
      <c r="E1796" s="35"/>
      <c r="F1796" s="35"/>
      <c r="G1796" s="35"/>
      <c r="H1796" s="35"/>
      <c r="I1796" s="35"/>
      <c r="J1796" s="35"/>
      <c r="K1796" s="35"/>
      <c r="L1796" s="35"/>
      <c r="M1796" s="35"/>
    </row>
    <row r="1797" spans="2:13" x14ac:dyDescent="0.35">
      <c r="B1797" s="32"/>
      <c r="C1797" s="35"/>
      <c r="D1797" s="35"/>
      <c r="E1797" s="35"/>
      <c r="F1797" s="35"/>
      <c r="G1797" s="35"/>
      <c r="H1797" s="35"/>
      <c r="I1797" s="35"/>
      <c r="J1797" s="35"/>
      <c r="K1797" s="35"/>
      <c r="L1797" s="35"/>
      <c r="M1797" s="35"/>
    </row>
    <row r="1798" spans="2:13" x14ac:dyDescent="0.35">
      <c r="B1798" s="32"/>
      <c r="C1798" s="35"/>
      <c r="D1798" s="35"/>
      <c r="E1798" s="35"/>
      <c r="F1798" s="35"/>
      <c r="G1798" s="35"/>
      <c r="H1798" s="35"/>
      <c r="I1798" s="35"/>
      <c r="J1798" s="35"/>
      <c r="K1798" s="35"/>
      <c r="L1798" s="35"/>
      <c r="M1798" s="35"/>
    </row>
    <row r="1799" spans="2:13" x14ac:dyDescent="0.35">
      <c r="B1799" s="32"/>
      <c r="C1799" s="35"/>
      <c r="D1799" s="35"/>
      <c r="E1799" s="35"/>
      <c r="F1799" s="35"/>
      <c r="G1799" s="35"/>
      <c r="H1799" s="35"/>
      <c r="I1799" s="35"/>
      <c r="J1799" s="35"/>
      <c r="K1799" s="35"/>
      <c r="L1799" s="35"/>
      <c r="M1799" s="35"/>
    </row>
    <row r="1800" spans="2:13" x14ac:dyDescent="0.35">
      <c r="B1800" s="32"/>
      <c r="C1800" s="35"/>
      <c r="D1800" s="35"/>
      <c r="E1800" s="35"/>
      <c r="F1800" s="35"/>
      <c r="G1800" s="35"/>
      <c r="H1800" s="35"/>
      <c r="I1800" s="35"/>
      <c r="J1800" s="35"/>
      <c r="K1800" s="35"/>
      <c r="L1800" s="35"/>
      <c r="M1800" s="35"/>
    </row>
    <row r="1801" spans="2:13" x14ac:dyDescent="0.35">
      <c r="B1801" s="32"/>
      <c r="C1801" s="35"/>
      <c r="D1801" s="35"/>
      <c r="E1801" s="35"/>
      <c r="F1801" s="35"/>
      <c r="G1801" s="35"/>
      <c r="H1801" s="35"/>
      <c r="I1801" s="35"/>
      <c r="J1801" s="35"/>
      <c r="K1801" s="35"/>
      <c r="L1801" s="35"/>
      <c r="M1801" s="35"/>
    </row>
    <row r="1802" spans="2:13" x14ac:dyDescent="0.35">
      <c r="B1802" s="32"/>
      <c r="C1802" s="35"/>
      <c r="D1802" s="35"/>
      <c r="E1802" s="35"/>
      <c r="F1802" s="35"/>
      <c r="G1802" s="35"/>
      <c r="H1802" s="35"/>
      <c r="I1802" s="35"/>
      <c r="J1802" s="35"/>
      <c r="K1802" s="35"/>
      <c r="L1802" s="35"/>
      <c r="M1802" s="35"/>
    </row>
    <row r="1803" spans="2:13" x14ac:dyDescent="0.35">
      <c r="B1803" s="32"/>
      <c r="C1803" s="35"/>
      <c r="D1803" s="35"/>
      <c r="E1803" s="35"/>
      <c r="F1803" s="35"/>
      <c r="G1803" s="35"/>
      <c r="H1803" s="35"/>
      <c r="I1803" s="35"/>
      <c r="J1803" s="35"/>
      <c r="K1803" s="35"/>
      <c r="L1803" s="35"/>
      <c r="M1803" s="35"/>
    </row>
    <row r="1804" spans="2:13" x14ac:dyDescent="0.35">
      <c r="B1804" s="32"/>
      <c r="C1804" s="35"/>
      <c r="D1804" s="35"/>
      <c r="E1804" s="35"/>
      <c r="F1804" s="35"/>
      <c r="G1804" s="35"/>
      <c r="H1804" s="35"/>
      <c r="I1804" s="35"/>
      <c r="J1804" s="35"/>
      <c r="K1804" s="35"/>
      <c r="L1804" s="35"/>
      <c r="M1804" s="35"/>
    </row>
    <row r="1805" spans="2:13" x14ac:dyDescent="0.35">
      <c r="B1805" s="32"/>
      <c r="C1805" s="35"/>
      <c r="D1805" s="35"/>
      <c r="E1805" s="35"/>
      <c r="F1805" s="35"/>
      <c r="G1805" s="35"/>
      <c r="H1805" s="35"/>
      <c r="I1805" s="35"/>
      <c r="J1805" s="35"/>
      <c r="K1805" s="35"/>
      <c r="L1805" s="35"/>
      <c r="M1805" s="35"/>
    </row>
    <row r="1806" spans="2:13" x14ac:dyDescent="0.35">
      <c r="B1806" s="32"/>
      <c r="C1806" s="35"/>
      <c r="D1806" s="35"/>
      <c r="E1806" s="35"/>
      <c r="F1806" s="35"/>
      <c r="G1806" s="35"/>
      <c r="H1806" s="35"/>
      <c r="I1806" s="35"/>
      <c r="J1806" s="35"/>
      <c r="K1806" s="35"/>
      <c r="L1806" s="35"/>
      <c r="M1806" s="35"/>
    </row>
    <row r="1807" spans="2:13" x14ac:dyDescent="0.35">
      <c r="B1807" s="32"/>
      <c r="C1807" s="35"/>
      <c r="D1807" s="35"/>
      <c r="E1807" s="35"/>
      <c r="F1807" s="35"/>
      <c r="G1807" s="35"/>
      <c r="H1807" s="35"/>
      <c r="I1807" s="35"/>
      <c r="J1807" s="35"/>
      <c r="K1807" s="35"/>
      <c r="L1807" s="35"/>
      <c r="M1807" s="35"/>
    </row>
    <row r="1808" spans="2:13" x14ac:dyDescent="0.35">
      <c r="B1808" s="32"/>
      <c r="C1808" s="35"/>
      <c r="D1808" s="35"/>
      <c r="E1808" s="35"/>
      <c r="F1808" s="35"/>
      <c r="G1808" s="35"/>
      <c r="H1808" s="35"/>
      <c r="I1808" s="35"/>
      <c r="J1808" s="35"/>
      <c r="K1808" s="35"/>
      <c r="L1808" s="35"/>
      <c r="M1808" s="35"/>
    </row>
    <row r="1809" spans="2:13" x14ac:dyDescent="0.35">
      <c r="B1809" s="32"/>
      <c r="C1809" s="35"/>
      <c r="D1809" s="35"/>
      <c r="E1809" s="35"/>
      <c r="F1809" s="35"/>
      <c r="G1809" s="35"/>
      <c r="H1809" s="35"/>
      <c r="I1809" s="35"/>
      <c r="J1809" s="35"/>
      <c r="K1809" s="35"/>
      <c r="L1809" s="35"/>
      <c r="M1809" s="35"/>
    </row>
    <row r="1810" spans="2:13" x14ac:dyDescent="0.35">
      <c r="B1810" s="32"/>
      <c r="C1810" s="35"/>
      <c r="D1810" s="35"/>
      <c r="E1810" s="35"/>
      <c r="F1810" s="35"/>
      <c r="G1810" s="35"/>
      <c r="H1810" s="35"/>
      <c r="I1810" s="35"/>
      <c r="J1810" s="35"/>
      <c r="K1810" s="35"/>
      <c r="L1810" s="35"/>
      <c r="M1810" s="35"/>
    </row>
    <row r="1811" spans="2:13" x14ac:dyDescent="0.35">
      <c r="B1811" s="32"/>
      <c r="C1811" s="35"/>
      <c r="D1811" s="35"/>
      <c r="E1811" s="35"/>
      <c r="F1811" s="35"/>
      <c r="G1811" s="35"/>
      <c r="H1811" s="35"/>
      <c r="I1811" s="35"/>
      <c r="J1811" s="35"/>
      <c r="K1811" s="35"/>
      <c r="L1811" s="35"/>
      <c r="M1811" s="35"/>
    </row>
    <row r="1812" spans="2:13" x14ac:dyDescent="0.35">
      <c r="B1812" s="32"/>
      <c r="C1812" s="35"/>
      <c r="D1812" s="35"/>
      <c r="E1812" s="35"/>
      <c r="F1812" s="35"/>
      <c r="G1812" s="35"/>
      <c r="H1812" s="35"/>
      <c r="I1812" s="35"/>
      <c r="J1812" s="35"/>
      <c r="K1812" s="35"/>
      <c r="L1812" s="35"/>
      <c r="M1812" s="35"/>
    </row>
    <row r="1813" spans="2:13" x14ac:dyDescent="0.35">
      <c r="B1813" s="32"/>
      <c r="C1813" s="35"/>
      <c r="D1813" s="35"/>
      <c r="E1813" s="35"/>
      <c r="F1813" s="35"/>
      <c r="G1813" s="35"/>
      <c r="H1813" s="35"/>
      <c r="I1813" s="35"/>
      <c r="J1813" s="35"/>
      <c r="K1813" s="35"/>
      <c r="L1813" s="35"/>
      <c r="M1813" s="35"/>
    </row>
    <row r="1814" spans="2:13" x14ac:dyDescent="0.35">
      <c r="B1814" s="32"/>
      <c r="C1814" s="35"/>
      <c r="D1814" s="35"/>
      <c r="E1814" s="35"/>
      <c r="F1814" s="35"/>
      <c r="G1814" s="35"/>
      <c r="H1814" s="35"/>
      <c r="I1814" s="35"/>
      <c r="J1814" s="35"/>
      <c r="K1814" s="35"/>
      <c r="L1814" s="35"/>
      <c r="M1814" s="35"/>
    </row>
    <row r="1815" spans="2:13" x14ac:dyDescent="0.35">
      <c r="B1815" s="32"/>
      <c r="C1815" s="35"/>
      <c r="D1815" s="35"/>
      <c r="E1815" s="35"/>
      <c r="F1815" s="35"/>
      <c r="G1815" s="35"/>
      <c r="H1815" s="35"/>
      <c r="I1815" s="35"/>
      <c r="J1815" s="35"/>
      <c r="K1815" s="35"/>
      <c r="L1815" s="35"/>
      <c r="M1815" s="35"/>
    </row>
    <row r="1816" spans="2:13" x14ac:dyDescent="0.35">
      <c r="B1816" s="32"/>
      <c r="C1816" s="35"/>
      <c r="D1816" s="35"/>
      <c r="E1816" s="35"/>
      <c r="F1816" s="35"/>
      <c r="G1816" s="35"/>
      <c r="H1816" s="35"/>
      <c r="I1816" s="35"/>
      <c r="J1816" s="35"/>
      <c r="K1816" s="35"/>
      <c r="L1816" s="35"/>
      <c r="M1816" s="35"/>
    </row>
    <row r="1817" spans="2:13" x14ac:dyDescent="0.35">
      <c r="B1817" s="32"/>
      <c r="C1817" s="35"/>
      <c r="D1817" s="35"/>
      <c r="E1817" s="35"/>
      <c r="F1817" s="35"/>
      <c r="G1817" s="35"/>
      <c r="H1817" s="35"/>
      <c r="I1817" s="35"/>
      <c r="J1817" s="35"/>
      <c r="K1817" s="35"/>
      <c r="L1817" s="35"/>
      <c r="M1817" s="35"/>
    </row>
    <row r="1818" spans="2:13" x14ac:dyDescent="0.35">
      <c r="B1818" s="32"/>
      <c r="C1818" s="35"/>
      <c r="D1818" s="35"/>
      <c r="E1818" s="35"/>
      <c r="F1818" s="35"/>
      <c r="G1818" s="35"/>
      <c r="H1818" s="35"/>
      <c r="I1818" s="35"/>
      <c r="J1818" s="35"/>
      <c r="K1818" s="35"/>
      <c r="L1818" s="35"/>
      <c r="M1818" s="35"/>
    </row>
    <row r="1819" spans="2:13" x14ac:dyDescent="0.35">
      <c r="B1819" s="32"/>
      <c r="C1819" s="35"/>
      <c r="D1819" s="35"/>
      <c r="E1819" s="35"/>
      <c r="F1819" s="35"/>
      <c r="G1819" s="35"/>
      <c r="H1819" s="35"/>
      <c r="I1819" s="35"/>
      <c r="J1819" s="35"/>
      <c r="K1819" s="35"/>
      <c r="L1819" s="35"/>
      <c r="M1819" s="35"/>
    </row>
    <row r="1820" spans="2:13" x14ac:dyDescent="0.35">
      <c r="B1820" s="32"/>
      <c r="C1820" s="35"/>
      <c r="D1820" s="35"/>
      <c r="E1820" s="35"/>
      <c r="F1820" s="35"/>
      <c r="G1820" s="35"/>
      <c r="H1820" s="35"/>
      <c r="I1820" s="35"/>
      <c r="J1820" s="35"/>
      <c r="K1820" s="35"/>
      <c r="L1820" s="35"/>
      <c r="M1820" s="35"/>
    </row>
    <row r="1821" spans="2:13" x14ac:dyDescent="0.35">
      <c r="B1821" s="32"/>
      <c r="C1821" s="35"/>
      <c r="D1821" s="35"/>
      <c r="E1821" s="35"/>
      <c r="F1821" s="35"/>
      <c r="G1821" s="35"/>
      <c r="H1821" s="35"/>
      <c r="I1821" s="35"/>
      <c r="J1821" s="35"/>
      <c r="K1821" s="35"/>
      <c r="L1821" s="35"/>
      <c r="M1821" s="35"/>
    </row>
    <row r="1822" spans="2:13" x14ac:dyDescent="0.35">
      <c r="B1822" s="32"/>
      <c r="C1822" s="35"/>
      <c r="D1822" s="35"/>
      <c r="E1822" s="35"/>
      <c r="F1822" s="35"/>
      <c r="G1822" s="35"/>
      <c r="H1822" s="35"/>
      <c r="I1822" s="35"/>
      <c r="J1822" s="35"/>
      <c r="K1822" s="35"/>
      <c r="L1822" s="35"/>
      <c r="M1822" s="35"/>
    </row>
    <row r="1823" spans="2:13" x14ac:dyDescent="0.35">
      <c r="B1823" s="32"/>
      <c r="C1823" s="35"/>
      <c r="D1823" s="35"/>
      <c r="E1823" s="35"/>
      <c r="F1823" s="35"/>
      <c r="G1823" s="35"/>
      <c r="H1823" s="35"/>
      <c r="I1823" s="35"/>
      <c r="J1823" s="35"/>
      <c r="K1823" s="35"/>
      <c r="L1823" s="35"/>
      <c r="M1823" s="35"/>
    </row>
    <row r="1824" spans="2:13" x14ac:dyDescent="0.35">
      <c r="B1824" s="32"/>
      <c r="C1824" s="35"/>
      <c r="D1824" s="35"/>
      <c r="E1824" s="35"/>
      <c r="F1824" s="35"/>
      <c r="G1824" s="35"/>
      <c r="H1824" s="35"/>
      <c r="I1824" s="35"/>
      <c r="J1824" s="35"/>
      <c r="K1824" s="35"/>
      <c r="L1824" s="35"/>
      <c r="M1824" s="35"/>
    </row>
    <row r="1825" spans="2:13" x14ac:dyDescent="0.35">
      <c r="B1825" s="32"/>
      <c r="C1825" s="35"/>
      <c r="D1825" s="35"/>
      <c r="E1825" s="35"/>
      <c r="F1825" s="35"/>
      <c r="G1825" s="35"/>
      <c r="H1825" s="35"/>
      <c r="I1825" s="35"/>
      <c r="J1825" s="35"/>
      <c r="K1825" s="35"/>
      <c r="L1825" s="35"/>
      <c r="M1825" s="35"/>
    </row>
    <row r="1826" spans="2:13" x14ac:dyDescent="0.35">
      <c r="B1826" s="32"/>
      <c r="C1826" s="35"/>
      <c r="D1826" s="35"/>
      <c r="E1826" s="35"/>
      <c r="F1826" s="35"/>
      <c r="G1826" s="35"/>
      <c r="H1826" s="35"/>
      <c r="I1826" s="35"/>
      <c r="J1826" s="35"/>
      <c r="K1826" s="35"/>
      <c r="L1826" s="35"/>
      <c r="M1826" s="35"/>
    </row>
    <row r="1827" spans="2:13" x14ac:dyDescent="0.35">
      <c r="B1827" s="32"/>
      <c r="C1827" s="35"/>
      <c r="D1827" s="35"/>
      <c r="E1827" s="35"/>
      <c r="F1827" s="35"/>
      <c r="G1827" s="35"/>
      <c r="H1827" s="35"/>
      <c r="I1827" s="35"/>
      <c r="J1827" s="35"/>
      <c r="K1827" s="35"/>
      <c r="L1827" s="35"/>
      <c r="M1827" s="35"/>
    </row>
    <row r="1828" spans="2:13" x14ac:dyDescent="0.35">
      <c r="B1828" s="32"/>
      <c r="C1828" s="35"/>
      <c r="D1828" s="35"/>
      <c r="E1828" s="35"/>
      <c r="F1828" s="35"/>
      <c r="G1828" s="35"/>
      <c r="H1828" s="35"/>
      <c r="I1828" s="35"/>
      <c r="J1828" s="35"/>
      <c r="K1828" s="35"/>
      <c r="L1828" s="35"/>
      <c r="M1828" s="35"/>
    </row>
    <row r="1829" spans="2:13" x14ac:dyDescent="0.35">
      <c r="B1829" s="32"/>
      <c r="C1829" s="35"/>
      <c r="D1829" s="35"/>
      <c r="E1829" s="35"/>
      <c r="F1829" s="35"/>
      <c r="G1829" s="35"/>
      <c r="H1829" s="35"/>
      <c r="I1829" s="35"/>
      <c r="J1829" s="35"/>
      <c r="K1829" s="35"/>
      <c r="L1829" s="35"/>
      <c r="M1829" s="35"/>
    </row>
    <row r="1830" spans="2:13" x14ac:dyDescent="0.35">
      <c r="B1830" s="32"/>
      <c r="C1830" s="35"/>
      <c r="D1830" s="35"/>
      <c r="E1830" s="35"/>
      <c r="F1830" s="35"/>
      <c r="G1830" s="35"/>
      <c r="H1830" s="35"/>
      <c r="I1830" s="35"/>
      <c r="J1830" s="35"/>
      <c r="K1830" s="35"/>
      <c r="L1830" s="35"/>
      <c r="M1830" s="35"/>
    </row>
    <row r="1831" spans="2:13" x14ac:dyDescent="0.35">
      <c r="B1831" s="32"/>
      <c r="C1831" s="35"/>
      <c r="D1831" s="35"/>
      <c r="E1831" s="35"/>
      <c r="F1831" s="35"/>
      <c r="G1831" s="35"/>
      <c r="H1831" s="35"/>
      <c r="I1831" s="35"/>
      <c r="J1831" s="35"/>
      <c r="K1831" s="35"/>
      <c r="L1831" s="35"/>
      <c r="M1831" s="35"/>
    </row>
    <row r="1832" spans="2:13" x14ac:dyDescent="0.35">
      <c r="B1832" s="32"/>
      <c r="C1832" s="35"/>
      <c r="D1832" s="35"/>
      <c r="E1832" s="35"/>
      <c r="F1832" s="35"/>
      <c r="G1832" s="35"/>
      <c r="H1832" s="35"/>
      <c r="I1832" s="35"/>
      <c r="J1832" s="35"/>
      <c r="K1832" s="35"/>
      <c r="L1832" s="35"/>
      <c r="M1832" s="35"/>
    </row>
    <row r="1833" spans="2:13" x14ac:dyDescent="0.35">
      <c r="B1833" s="32"/>
      <c r="C1833" s="35"/>
      <c r="D1833" s="35"/>
      <c r="E1833" s="35"/>
      <c r="F1833" s="35"/>
      <c r="G1833" s="35"/>
      <c r="H1833" s="35"/>
      <c r="I1833" s="35"/>
      <c r="J1833" s="35"/>
      <c r="K1833" s="35"/>
      <c r="L1833" s="35"/>
      <c r="M1833" s="35"/>
    </row>
    <row r="1834" spans="2:13" x14ac:dyDescent="0.35">
      <c r="B1834" s="32"/>
      <c r="C1834" s="35"/>
      <c r="D1834" s="35"/>
      <c r="E1834" s="35"/>
      <c r="F1834" s="35"/>
      <c r="G1834" s="35"/>
      <c r="H1834" s="35"/>
      <c r="I1834" s="35"/>
      <c r="J1834" s="35"/>
      <c r="K1834" s="35"/>
      <c r="L1834" s="35"/>
      <c r="M1834" s="35"/>
    </row>
    <row r="1835" spans="2:13" x14ac:dyDescent="0.35">
      <c r="B1835" s="32"/>
      <c r="C1835" s="35"/>
      <c r="D1835" s="35"/>
      <c r="E1835" s="35"/>
      <c r="F1835" s="35"/>
      <c r="G1835" s="35"/>
      <c r="H1835" s="35"/>
      <c r="I1835" s="35"/>
      <c r="J1835" s="35"/>
      <c r="K1835" s="35"/>
      <c r="L1835" s="35"/>
      <c r="M1835" s="35"/>
    </row>
    <row r="1836" spans="2:13" x14ac:dyDescent="0.35">
      <c r="B1836" s="32"/>
      <c r="C1836" s="35"/>
      <c r="D1836" s="35"/>
      <c r="E1836" s="35"/>
      <c r="F1836" s="35"/>
      <c r="G1836" s="35"/>
      <c r="H1836" s="35"/>
      <c r="I1836" s="35"/>
      <c r="J1836" s="35"/>
      <c r="K1836" s="35"/>
      <c r="L1836" s="35"/>
      <c r="M1836" s="35"/>
    </row>
    <row r="1837" spans="2:13" x14ac:dyDescent="0.35">
      <c r="B1837" s="32"/>
      <c r="C1837" s="35"/>
      <c r="D1837" s="35"/>
      <c r="E1837" s="35"/>
      <c r="F1837" s="35"/>
      <c r="G1837" s="35"/>
      <c r="H1837" s="35"/>
      <c r="I1837" s="35"/>
      <c r="J1837" s="35"/>
      <c r="K1837" s="35"/>
      <c r="L1837" s="35"/>
      <c r="M1837" s="35"/>
    </row>
    <row r="1838" spans="2:13" x14ac:dyDescent="0.35">
      <c r="B1838" s="32"/>
      <c r="C1838" s="35"/>
      <c r="D1838" s="35"/>
      <c r="E1838" s="35"/>
      <c r="F1838" s="35"/>
      <c r="G1838" s="35"/>
      <c r="H1838" s="35"/>
      <c r="I1838" s="35"/>
      <c r="J1838" s="35"/>
      <c r="K1838" s="35"/>
      <c r="L1838" s="35"/>
      <c r="M1838" s="35"/>
    </row>
    <row r="1839" spans="2:13" x14ac:dyDescent="0.35">
      <c r="B1839" s="32"/>
      <c r="C1839" s="35"/>
      <c r="D1839" s="35"/>
      <c r="E1839" s="35"/>
      <c r="F1839" s="35"/>
      <c r="G1839" s="35"/>
      <c r="H1839" s="35"/>
      <c r="I1839" s="35"/>
      <c r="J1839" s="35"/>
      <c r="K1839" s="35"/>
      <c r="L1839" s="35"/>
      <c r="M1839" s="35"/>
    </row>
    <row r="1840" spans="2:13" x14ac:dyDescent="0.35">
      <c r="B1840" s="32"/>
      <c r="C1840" s="35"/>
      <c r="D1840" s="35"/>
      <c r="E1840" s="35"/>
      <c r="F1840" s="35"/>
      <c r="G1840" s="35"/>
      <c r="H1840" s="35"/>
      <c r="I1840" s="35"/>
      <c r="J1840" s="35"/>
      <c r="K1840" s="35"/>
      <c r="L1840" s="35"/>
      <c r="M1840" s="35"/>
    </row>
    <row r="1841" spans="2:13" x14ac:dyDescent="0.35">
      <c r="B1841" s="32"/>
      <c r="C1841" s="35"/>
      <c r="D1841" s="35"/>
      <c r="E1841" s="35"/>
      <c r="F1841" s="35"/>
      <c r="G1841" s="35"/>
      <c r="H1841" s="35"/>
      <c r="I1841" s="35"/>
      <c r="J1841" s="35"/>
      <c r="K1841" s="35"/>
      <c r="L1841" s="35"/>
      <c r="M1841" s="35"/>
    </row>
    <row r="1842" spans="2:13" x14ac:dyDescent="0.35">
      <c r="B1842" s="32"/>
      <c r="C1842" s="35"/>
      <c r="D1842" s="35"/>
      <c r="E1842" s="35"/>
      <c r="F1842" s="35"/>
      <c r="G1842" s="35"/>
      <c r="H1842" s="35"/>
      <c r="I1842" s="35"/>
      <c r="J1842" s="35"/>
      <c r="K1842" s="35"/>
      <c r="L1842" s="35"/>
      <c r="M1842" s="35"/>
    </row>
    <row r="1843" spans="2:13" x14ac:dyDescent="0.35">
      <c r="B1843" s="32"/>
      <c r="C1843" s="35"/>
      <c r="D1843" s="35"/>
      <c r="E1843" s="35"/>
      <c r="F1843" s="35"/>
      <c r="G1843" s="35"/>
      <c r="H1843" s="35"/>
      <c r="I1843" s="35"/>
      <c r="J1843" s="35"/>
      <c r="K1843" s="35"/>
      <c r="L1843" s="35"/>
      <c r="M1843" s="35"/>
    </row>
    <row r="1844" spans="2:13" x14ac:dyDescent="0.35">
      <c r="B1844" s="32"/>
      <c r="C1844" s="35"/>
      <c r="D1844" s="35"/>
      <c r="E1844" s="35"/>
      <c r="F1844" s="35"/>
      <c r="G1844" s="35"/>
      <c r="H1844" s="35"/>
      <c r="I1844" s="35"/>
      <c r="J1844" s="35"/>
      <c r="K1844" s="35"/>
      <c r="L1844" s="35"/>
      <c r="M1844" s="35"/>
    </row>
    <row r="1845" spans="2:13" x14ac:dyDescent="0.35">
      <c r="B1845" s="32"/>
      <c r="C1845" s="35"/>
      <c r="D1845" s="35"/>
      <c r="E1845" s="35"/>
      <c r="F1845" s="35"/>
      <c r="G1845" s="35"/>
      <c r="H1845" s="35"/>
      <c r="I1845" s="35"/>
      <c r="J1845" s="35"/>
      <c r="K1845" s="35"/>
      <c r="L1845" s="35"/>
      <c r="M1845" s="35"/>
    </row>
    <row r="1846" spans="2:13" x14ac:dyDescent="0.35">
      <c r="B1846" s="32"/>
      <c r="C1846" s="35"/>
      <c r="D1846" s="35"/>
      <c r="E1846" s="35"/>
      <c r="F1846" s="35"/>
      <c r="G1846" s="35"/>
      <c r="H1846" s="35"/>
      <c r="I1846" s="35"/>
      <c r="J1846" s="35"/>
      <c r="K1846" s="35"/>
      <c r="L1846" s="35"/>
      <c r="M1846" s="35"/>
    </row>
    <row r="1847" spans="2:13" x14ac:dyDescent="0.35">
      <c r="B1847" s="32"/>
      <c r="C1847" s="35"/>
      <c r="D1847" s="35"/>
      <c r="E1847" s="35"/>
      <c r="F1847" s="35"/>
      <c r="G1847" s="35"/>
      <c r="H1847" s="35"/>
      <c r="I1847" s="35"/>
      <c r="J1847" s="35"/>
      <c r="K1847" s="35"/>
      <c r="L1847" s="35"/>
      <c r="M1847" s="35"/>
    </row>
    <row r="1848" spans="2:13" x14ac:dyDescent="0.35">
      <c r="B1848" s="32"/>
      <c r="C1848" s="35"/>
      <c r="D1848" s="35"/>
      <c r="E1848" s="35"/>
      <c r="F1848" s="35"/>
      <c r="G1848" s="35"/>
      <c r="H1848" s="35"/>
      <c r="I1848" s="35"/>
      <c r="J1848" s="35"/>
      <c r="K1848" s="35"/>
      <c r="L1848" s="35"/>
      <c r="M1848" s="35"/>
    </row>
    <row r="1849" spans="2:13" x14ac:dyDescent="0.35">
      <c r="B1849" s="32"/>
      <c r="C1849" s="35"/>
      <c r="D1849" s="35"/>
      <c r="E1849" s="35"/>
      <c r="F1849" s="35"/>
      <c r="G1849" s="35"/>
      <c r="H1849" s="35"/>
      <c r="I1849" s="35"/>
      <c r="J1849" s="35"/>
      <c r="K1849" s="35"/>
      <c r="L1849" s="35"/>
      <c r="M1849" s="35"/>
    </row>
    <row r="1850" spans="2:13" x14ac:dyDescent="0.35">
      <c r="B1850" s="32"/>
      <c r="C1850" s="35"/>
      <c r="D1850" s="35"/>
      <c r="E1850" s="35"/>
      <c r="F1850" s="35"/>
      <c r="G1850" s="35"/>
      <c r="H1850" s="35"/>
      <c r="I1850" s="35"/>
      <c r="J1850" s="35"/>
      <c r="K1850" s="35"/>
      <c r="L1850" s="35"/>
      <c r="M1850" s="35"/>
    </row>
    <row r="1851" spans="2:13" x14ac:dyDescent="0.35">
      <c r="B1851" s="32"/>
      <c r="C1851" s="35"/>
      <c r="D1851" s="35"/>
      <c r="E1851" s="35"/>
      <c r="F1851" s="35"/>
      <c r="G1851" s="35"/>
      <c r="H1851" s="35"/>
      <c r="I1851" s="35"/>
      <c r="J1851" s="35"/>
      <c r="K1851" s="35"/>
      <c r="L1851" s="35"/>
      <c r="M1851" s="35"/>
    </row>
    <row r="1852" spans="2:13" x14ac:dyDescent="0.35">
      <c r="B1852" s="32"/>
      <c r="C1852" s="35"/>
      <c r="D1852" s="35"/>
      <c r="E1852" s="35"/>
      <c r="F1852" s="35"/>
      <c r="G1852" s="35"/>
      <c r="H1852" s="35"/>
      <c r="I1852" s="35"/>
      <c r="J1852" s="35"/>
      <c r="K1852" s="35"/>
      <c r="L1852" s="35"/>
      <c r="M1852" s="35"/>
    </row>
    <row r="1853" spans="2:13" x14ac:dyDescent="0.35">
      <c r="B1853" s="32"/>
      <c r="C1853" s="35"/>
      <c r="D1853" s="35"/>
      <c r="E1853" s="35"/>
      <c r="F1853" s="35"/>
      <c r="G1853" s="35"/>
      <c r="H1853" s="35"/>
      <c r="I1853" s="35"/>
      <c r="J1853" s="35"/>
      <c r="K1853" s="35"/>
      <c r="L1853" s="35"/>
      <c r="M1853" s="35"/>
    </row>
    <row r="1854" spans="2:13" x14ac:dyDescent="0.35">
      <c r="B1854" s="32"/>
      <c r="C1854" s="35"/>
      <c r="D1854" s="35"/>
      <c r="E1854" s="35"/>
      <c r="F1854" s="35"/>
      <c r="G1854" s="35"/>
      <c r="H1854" s="35"/>
      <c r="I1854" s="35"/>
      <c r="J1854" s="35"/>
      <c r="K1854" s="35"/>
      <c r="L1854" s="35"/>
      <c r="M1854" s="35"/>
    </row>
    <row r="1855" spans="2:13" x14ac:dyDescent="0.35">
      <c r="B1855" s="32"/>
      <c r="C1855" s="35"/>
      <c r="D1855" s="35"/>
      <c r="E1855" s="35"/>
      <c r="F1855" s="35"/>
      <c r="G1855" s="35"/>
      <c r="H1855" s="35"/>
      <c r="I1855" s="35"/>
      <c r="J1855" s="35"/>
      <c r="K1855" s="35"/>
      <c r="L1855" s="35"/>
      <c r="M1855" s="35"/>
    </row>
    <row r="1856" spans="2:13" x14ac:dyDescent="0.35">
      <c r="B1856" s="32"/>
      <c r="C1856" s="35"/>
      <c r="D1856" s="35"/>
      <c r="E1856" s="35"/>
      <c r="F1856" s="35"/>
      <c r="G1856" s="35"/>
      <c r="H1856" s="35"/>
      <c r="I1856" s="35"/>
      <c r="J1856" s="35"/>
      <c r="K1856" s="35"/>
      <c r="L1856" s="35"/>
      <c r="M1856" s="35"/>
    </row>
    <row r="1857" spans="2:13" x14ac:dyDescent="0.35">
      <c r="B1857" s="32"/>
      <c r="C1857" s="35"/>
      <c r="D1857" s="35"/>
      <c r="E1857" s="35"/>
      <c r="F1857" s="35"/>
      <c r="G1857" s="35"/>
      <c r="H1857" s="35"/>
      <c r="I1857" s="35"/>
      <c r="J1857" s="35"/>
      <c r="K1857" s="35"/>
      <c r="L1857" s="35"/>
      <c r="M1857" s="35"/>
    </row>
    <row r="1858" spans="2:13" x14ac:dyDescent="0.35">
      <c r="B1858" s="32"/>
      <c r="C1858" s="35"/>
      <c r="D1858" s="35"/>
      <c r="E1858" s="35"/>
      <c r="F1858" s="35"/>
      <c r="G1858" s="35"/>
      <c r="H1858" s="35"/>
      <c r="I1858" s="35"/>
      <c r="J1858" s="35"/>
      <c r="K1858" s="35"/>
      <c r="L1858" s="35"/>
      <c r="M1858" s="35"/>
    </row>
    <row r="1859" spans="2:13" x14ac:dyDescent="0.35">
      <c r="B1859" s="32"/>
      <c r="C1859" s="35"/>
      <c r="D1859" s="35"/>
      <c r="E1859" s="35"/>
      <c r="F1859" s="35"/>
      <c r="G1859" s="35"/>
      <c r="H1859" s="35"/>
      <c r="I1859" s="35"/>
      <c r="J1859" s="35"/>
      <c r="K1859" s="35"/>
      <c r="L1859" s="35"/>
      <c r="M1859" s="35"/>
    </row>
    <row r="1860" spans="2:13" x14ac:dyDescent="0.35">
      <c r="B1860" s="32"/>
      <c r="C1860" s="35"/>
      <c r="D1860" s="35"/>
      <c r="E1860" s="35"/>
      <c r="F1860" s="35"/>
      <c r="G1860" s="35"/>
      <c r="H1860" s="35"/>
      <c r="I1860" s="35"/>
      <c r="J1860" s="35"/>
      <c r="K1860" s="35"/>
      <c r="L1860" s="35"/>
      <c r="M1860" s="35"/>
    </row>
    <row r="1861" spans="2:13" x14ac:dyDescent="0.35">
      <c r="B1861" s="32"/>
      <c r="C1861" s="35"/>
      <c r="D1861" s="35"/>
      <c r="E1861" s="35"/>
      <c r="F1861" s="35"/>
      <c r="G1861" s="35"/>
      <c r="H1861" s="35"/>
      <c r="I1861" s="35"/>
      <c r="J1861" s="35"/>
      <c r="K1861" s="35"/>
      <c r="L1861" s="35"/>
      <c r="M1861" s="35"/>
    </row>
    <row r="1862" spans="2:13" x14ac:dyDescent="0.35">
      <c r="B1862" s="32"/>
      <c r="C1862" s="35"/>
      <c r="D1862" s="35"/>
      <c r="E1862" s="35"/>
      <c r="F1862" s="35"/>
      <c r="G1862" s="35"/>
      <c r="H1862" s="35"/>
      <c r="I1862" s="35"/>
      <c r="J1862" s="35"/>
      <c r="K1862" s="35"/>
      <c r="L1862" s="35"/>
      <c r="M1862" s="35"/>
    </row>
    <row r="1863" spans="2:13" x14ac:dyDescent="0.35">
      <c r="B1863" s="32"/>
      <c r="C1863" s="35"/>
      <c r="D1863" s="35"/>
      <c r="E1863" s="35"/>
      <c r="F1863" s="35"/>
      <c r="G1863" s="35"/>
      <c r="H1863" s="35"/>
      <c r="I1863" s="35"/>
      <c r="J1863" s="35"/>
      <c r="K1863" s="35"/>
      <c r="L1863" s="35"/>
      <c r="M1863" s="35"/>
    </row>
    <row r="1864" spans="2:13" x14ac:dyDescent="0.35">
      <c r="B1864" s="32"/>
      <c r="C1864" s="35"/>
      <c r="D1864" s="35"/>
      <c r="E1864" s="35"/>
      <c r="F1864" s="35"/>
      <c r="G1864" s="35"/>
      <c r="H1864" s="35"/>
      <c r="I1864" s="35"/>
      <c r="J1864" s="35"/>
      <c r="K1864" s="35"/>
      <c r="L1864" s="35"/>
      <c r="M1864" s="35"/>
    </row>
    <row r="1865" spans="2:13" x14ac:dyDescent="0.35">
      <c r="B1865" s="32"/>
      <c r="C1865" s="35"/>
      <c r="D1865" s="35"/>
      <c r="E1865" s="35"/>
      <c r="F1865" s="35"/>
      <c r="G1865" s="35"/>
      <c r="H1865" s="35"/>
      <c r="I1865" s="35"/>
      <c r="J1865" s="35"/>
      <c r="K1865" s="35"/>
      <c r="L1865" s="35"/>
      <c r="M1865" s="35"/>
    </row>
    <row r="1866" spans="2:13" x14ac:dyDescent="0.35">
      <c r="B1866" s="32"/>
      <c r="C1866" s="35"/>
      <c r="D1866" s="35"/>
      <c r="E1866" s="35"/>
      <c r="F1866" s="35"/>
      <c r="G1866" s="35"/>
      <c r="H1866" s="35"/>
      <c r="I1866" s="35"/>
      <c r="J1866" s="35"/>
      <c r="K1866" s="35"/>
      <c r="L1866" s="35"/>
      <c r="M1866" s="35"/>
    </row>
    <row r="1867" spans="2:13" x14ac:dyDescent="0.35">
      <c r="B1867" s="32"/>
      <c r="C1867" s="35"/>
      <c r="D1867" s="35"/>
      <c r="E1867" s="35"/>
      <c r="F1867" s="35"/>
      <c r="G1867" s="35"/>
      <c r="H1867" s="35"/>
      <c r="I1867" s="35"/>
      <c r="J1867" s="35"/>
      <c r="K1867" s="35"/>
      <c r="L1867" s="35"/>
      <c r="M1867" s="35"/>
    </row>
    <row r="1868" spans="2:13" x14ac:dyDescent="0.35">
      <c r="B1868" s="32"/>
      <c r="C1868" s="35"/>
      <c r="D1868" s="35"/>
      <c r="E1868" s="35"/>
      <c r="F1868" s="35"/>
      <c r="G1868" s="35"/>
      <c r="H1868" s="35"/>
      <c r="I1868" s="35"/>
      <c r="J1868" s="35"/>
      <c r="K1868" s="35"/>
      <c r="L1868" s="35"/>
      <c r="M1868" s="35"/>
    </row>
    <row r="1869" spans="2:13" x14ac:dyDescent="0.35">
      <c r="B1869" s="32"/>
      <c r="C1869" s="35"/>
      <c r="D1869" s="35"/>
      <c r="E1869" s="35"/>
      <c r="F1869" s="35"/>
      <c r="G1869" s="35"/>
      <c r="H1869" s="35"/>
      <c r="I1869" s="35"/>
      <c r="J1869" s="35"/>
      <c r="K1869" s="35"/>
      <c r="L1869" s="35"/>
      <c r="M1869" s="35"/>
    </row>
    <row r="1870" spans="2:13" x14ac:dyDescent="0.35">
      <c r="B1870" s="32"/>
      <c r="C1870" s="35"/>
      <c r="D1870" s="35"/>
      <c r="E1870" s="35"/>
      <c r="F1870" s="35"/>
      <c r="G1870" s="35"/>
      <c r="H1870" s="35"/>
      <c r="I1870" s="35"/>
      <c r="J1870" s="35"/>
      <c r="K1870" s="35"/>
      <c r="L1870" s="35"/>
      <c r="M1870" s="35"/>
    </row>
    <row r="1871" spans="2:13" x14ac:dyDescent="0.35">
      <c r="B1871" s="32"/>
      <c r="C1871" s="35"/>
      <c r="D1871" s="35"/>
      <c r="E1871" s="35"/>
      <c r="F1871" s="35"/>
      <c r="G1871" s="35"/>
      <c r="H1871" s="35"/>
      <c r="I1871" s="35"/>
      <c r="J1871" s="35"/>
      <c r="K1871" s="35"/>
      <c r="L1871" s="35"/>
      <c r="M1871" s="35"/>
    </row>
    <row r="1872" spans="2:13" x14ac:dyDescent="0.35">
      <c r="B1872" s="32"/>
      <c r="C1872" s="35"/>
      <c r="D1872" s="35"/>
      <c r="E1872" s="35"/>
      <c r="F1872" s="35"/>
      <c r="G1872" s="35"/>
      <c r="H1872" s="35"/>
      <c r="I1872" s="35"/>
      <c r="J1872" s="35"/>
      <c r="K1872" s="35"/>
      <c r="L1872" s="35"/>
      <c r="M1872" s="35"/>
    </row>
    <row r="1873" spans="2:13" x14ac:dyDescent="0.35">
      <c r="B1873" s="32"/>
      <c r="C1873" s="35"/>
      <c r="D1873" s="35"/>
      <c r="E1873" s="35"/>
      <c r="F1873" s="35"/>
      <c r="G1873" s="35"/>
      <c r="H1873" s="35"/>
      <c r="I1873" s="35"/>
      <c r="J1873" s="35"/>
      <c r="K1873" s="35"/>
      <c r="L1873" s="35"/>
      <c r="M1873" s="35"/>
    </row>
    <row r="1874" spans="2:13" x14ac:dyDescent="0.35">
      <c r="B1874" s="32"/>
      <c r="C1874" s="35"/>
      <c r="D1874" s="35"/>
      <c r="E1874" s="35"/>
      <c r="F1874" s="35"/>
      <c r="G1874" s="35"/>
      <c r="H1874" s="35"/>
      <c r="I1874" s="35"/>
      <c r="J1874" s="35"/>
      <c r="K1874" s="35"/>
      <c r="L1874" s="35"/>
      <c r="M1874" s="35"/>
    </row>
    <row r="1875" spans="2:13" x14ac:dyDescent="0.35">
      <c r="B1875" s="32"/>
      <c r="C1875" s="35"/>
      <c r="D1875" s="35"/>
      <c r="E1875" s="35"/>
      <c r="F1875" s="35"/>
      <c r="G1875" s="35"/>
      <c r="H1875" s="35"/>
      <c r="I1875" s="35"/>
      <c r="J1875" s="35"/>
      <c r="K1875" s="35"/>
      <c r="L1875" s="35"/>
      <c r="M1875" s="35"/>
    </row>
    <row r="1876" spans="2:13" x14ac:dyDescent="0.35">
      <c r="B1876" s="32"/>
      <c r="C1876" s="35"/>
      <c r="D1876" s="35"/>
      <c r="E1876" s="35"/>
      <c r="F1876" s="35"/>
      <c r="G1876" s="35"/>
      <c r="H1876" s="35"/>
      <c r="I1876" s="35"/>
      <c r="J1876" s="35"/>
      <c r="K1876" s="35"/>
      <c r="L1876" s="35"/>
      <c r="M1876" s="35"/>
    </row>
    <row r="1877" spans="2:13" x14ac:dyDescent="0.35">
      <c r="B1877" s="32"/>
      <c r="C1877" s="35"/>
      <c r="D1877" s="35"/>
      <c r="E1877" s="35"/>
      <c r="F1877" s="35"/>
      <c r="G1877" s="35"/>
      <c r="H1877" s="35"/>
      <c r="I1877" s="35"/>
      <c r="J1877" s="35"/>
      <c r="K1877" s="35"/>
      <c r="L1877" s="35"/>
      <c r="M1877" s="35"/>
    </row>
    <row r="1878" spans="2:13" x14ac:dyDescent="0.35">
      <c r="B1878" s="32"/>
      <c r="C1878" s="35"/>
      <c r="D1878" s="35"/>
      <c r="E1878" s="35"/>
      <c r="F1878" s="35"/>
      <c r="G1878" s="35"/>
      <c r="H1878" s="35"/>
      <c r="I1878" s="35"/>
      <c r="J1878" s="35"/>
      <c r="K1878" s="35"/>
      <c r="L1878" s="35"/>
      <c r="M1878" s="35"/>
    </row>
    <row r="1879" spans="2:13" x14ac:dyDescent="0.35">
      <c r="B1879" s="32"/>
      <c r="C1879" s="35"/>
      <c r="D1879" s="35"/>
      <c r="E1879" s="35"/>
      <c r="F1879" s="35"/>
      <c r="G1879" s="35"/>
      <c r="H1879" s="35"/>
      <c r="I1879" s="35"/>
      <c r="J1879" s="35"/>
      <c r="K1879" s="35"/>
      <c r="L1879" s="35"/>
      <c r="M1879" s="35"/>
    </row>
    <row r="1880" spans="2:13" x14ac:dyDescent="0.35">
      <c r="B1880" s="32"/>
      <c r="C1880" s="35"/>
      <c r="D1880" s="35"/>
      <c r="E1880" s="35"/>
      <c r="F1880" s="35"/>
      <c r="G1880" s="35"/>
      <c r="H1880" s="35"/>
      <c r="I1880" s="35"/>
      <c r="J1880" s="35"/>
      <c r="K1880" s="35"/>
      <c r="L1880" s="35"/>
      <c r="M1880" s="35"/>
    </row>
    <row r="1881" spans="2:13" x14ac:dyDescent="0.35">
      <c r="B1881" s="32"/>
      <c r="C1881" s="35"/>
      <c r="D1881" s="35"/>
      <c r="E1881" s="35"/>
      <c r="F1881" s="35"/>
      <c r="G1881" s="35"/>
      <c r="H1881" s="35"/>
      <c r="I1881" s="35"/>
      <c r="J1881" s="35"/>
      <c r="K1881" s="35"/>
      <c r="L1881" s="35"/>
      <c r="M1881" s="35"/>
    </row>
    <row r="1882" spans="2:13" x14ac:dyDescent="0.35">
      <c r="B1882" s="32"/>
      <c r="C1882" s="35"/>
      <c r="D1882" s="35"/>
      <c r="E1882" s="35"/>
      <c r="F1882" s="35"/>
      <c r="G1882" s="35"/>
      <c r="H1882" s="35"/>
      <c r="I1882" s="35"/>
      <c r="J1882" s="35"/>
      <c r="K1882" s="35"/>
      <c r="L1882" s="35"/>
      <c r="M1882" s="35"/>
    </row>
    <row r="1883" spans="2:13" x14ac:dyDescent="0.35">
      <c r="B1883" s="32"/>
      <c r="C1883" s="35"/>
      <c r="D1883" s="35"/>
      <c r="E1883" s="35"/>
      <c r="F1883" s="35"/>
      <c r="G1883" s="35"/>
      <c r="H1883" s="35"/>
      <c r="I1883" s="35"/>
      <c r="J1883" s="35"/>
      <c r="K1883" s="35"/>
      <c r="L1883" s="35"/>
      <c r="M1883" s="35"/>
    </row>
    <row r="1884" spans="2:13" x14ac:dyDescent="0.35">
      <c r="B1884" s="32"/>
      <c r="C1884" s="35"/>
      <c r="D1884" s="35"/>
      <c r="E1884" s="35"/>
      <c r="F1884" s="35"/>
      <c r="G1884" s="35"/>
      <c r="H1884" s="35"/>
      <c r="I1884" s="35"/>
      <c r="J1884" s="35"/>
      <c r="K1884" s="35"/>
      <c r="L1884" s="35"/>
      <c r="M1884" s="35"/>
    </row>
    <row r="1885" spans="2:13" x14ac:dyDescent="0.35">
      <c r="B1885" s="32"/>
      <c r="C1885" s="35"/>
      <c r="D1885" s="35"/>
      <c r="E1885" s="35"/>
      <c r="F1885" s="35"/>
      <c r="G1885" s="35"/>
      <c r="H1885" s="35"/>
      <c r="I1885" s="35"/>
      <c r="J1885" s="35"/>
      <c r="K1885" s="35"/>
      <c r="L1885" s="35"/>
      <c r="M1885" s="35"/>
    </row>
    <row r="1886" spans="2:13" x14ac:dyDescent="0.35">
      <c r="B1886" s="32"/>
      <c r="C1886" s="35"/>
      <c r="D1886" s="35"/>
      <c r="E1886" s="35"/>
      <c r="F1886" s="35"/>
      <c r="G1886" s="35"/>
      <c r="H1886" s="35"/>
      <c r="I1886" s="35"/>
      <c r="J1886" s="35"/>
      <c r="K1886" s="35"/>
      <c r="L1886" s="35"/>
      <c r="M1886" s="35"/>
    </row>
    <row r="1887" spans="2:13" x14ac:dyDescent="0.35">
      <c r="B1887" s="32"/>
      <c r="C1887" s="35"/>
      <c r="D1887" s="35"/>
      <c r="E1887" s="35"/>
      <c r="F1887" s="35"/>
      <c r="G1887" s="35"/>
      <c r="H1887" s="35"/>
      <c r="I1887" s="35"/>
      <c r="J1887" s="35"/>
      <c r="K1887" s="35"/>
      <c r="L1887" s="35"/>
      <c r="M1887" s="35"/>
    </row>
    <row r="1888" spans="2:13" x14ac:dyDescent="0.35">
      <c r="B1888" s="32"/>
      <c r="C1888" s="35"/>
      <c r="D1888" s="35"/>
      <c r="E1888" s="35"/>
      <c r="F1888" s="35"/>
      <c r="G1888" s="35"/>
      <c r="H1888" s="35"/>
      <c r="I1888" s="35"/>
      <c r="J1888" s="35"/>
      <c r="K1888" s="35"/>
      <c r="L1888" s="35"/>
      <c r="M1888" s="35"/>
    </row>
    <row r="1889" spans="2:13" x14ac:dyDescent="0.35">
      <c r="B1889" s="32"/>
      <c r="C1889" s="35"/>
      <c r="D1889" s="35"/>
      <c r="E1889" s="35"/>
      <c r="F1889" s="35"/>
      <c r="G1889" s="35"/>
      <c r="H1889" s="35"/>
      <c r="I1889" s="35"/>
      <c r="J1889" s="35"/>
      <c r="K1889" s="35"/>
      <c r="L1889" s="35"/>
      <c r="M1889" s="35"/>
    </row>
    <row r="1890" spans="2:13" x14ac:dyDescent="0.35">
      <c r="B1890" s="32"/>
      <c r="C1890" s="35"/>
      <c r="D1890" s="35"/>
      <c r="E1890" s="35"/>
      <c r="F1890" s="35"/>
      <c r="G1890" s="35"/>
      <c r="H1890" s="35"/>
      <c r="I1890" s="35"/>
      <c r="J1890" s="35"/>
      <c r="K1890" s="35"/>
      <c r="L1890" s="35"/>
      <c r="M1890" s="35"/>
    </row>
    <row r="1891" spans="2:13" x14ac:dyDescent="0.35">
      <c r="B1891" s="32"/>
      <c r="C1891" s="35"/>
      <c r="D1891" s="35"/>
      <c r="E1891" s="35"/>
      <c r="F1891" s="35"/>
      <c r="G1891" s="35"/>
      <c r="H1891" s="35"/>
      <c r="I1891" s="35"/>
      <c r="J1891" s="35"/>
      <c r="K1891" s="35"/>
      <c r="L1891" s="35"/>
      <c r="M1891" s="35"/>
    </row>
    <row r="1892" spans="2:13" x14ac:dyDescent="0.35">
      <c r="B1892" s="32"/>
      <c r="C1892" s="35"/>
      <c r="D1892" s="35"/>
      <c r="E1892" s="35"/>
      <c r="F1892" s="35"/>
      <c r="G1892" s="35"/>
      <c r="H1892" s="35"/>
      <c r="I1892" s="35"/>
      <c r="J1892" s="35"/>
      <c r="K1892" s="35"/>
      <c r="L1892" s="35"/>
      <c r="M1892" s="35"/>
    </row>
    <row r="1893" spans="2:13" x14ac:dyDescent="0.35">
      <c r="B1893" s="32"/>
      <c r="C1893" s="35"/>
      <c r="D1893" s="35"/>
      <c r="E1893" s="35"/>
      <c r="F1893" s="35"/>
      <c r="G1893" s="35"/>
      <c r="H1893" s="35"/>
      <c r="I1893" s="35"/>
      <c r="J1893" s="35"/>
      <c r="K1893" s="35"/>
      <c r="L1893" s="35"/>
      <c r="M1893" s="35"/>
    </row>
    <row r="1894" spans="2:13" x14ac:dyDescent="0.35">
      <c r="B1894" s="32"/>
      <c r="C1894" s="35"/>
      <c r="D1894" s="35"/>
      <c r="E1894" s="35"/>
      <c r="F1894" s="35"/>
      <c r="G1894" s="35"/>
      <c r="H1894" s="35"/>
      <c r="I1894" s="35"/>
      <c r="J1894" s="35"/>
      <c r="K1894" s="35"/>
      <c r="L1894" s="35"/>
      <c r="M1894" s="35"/>
    </row>
    <row r="1895" spans="2:13" x14ac:dyDescent="0.35">
      <c r="B1895" s="32"/>
      <c r="C1895" s="35"/>
      <c r="D1895" s="35"/>
      <c r="E1895" s="35"/>
      <c r="F1895" s="35"/>
      <c r="G1895" s="35"/>
      <c r="H1895" s="35"/>
      <c r="I1895" s="35"/>
      <c r="J1895" s="35"/>
      <c r="K1895" s="35"/>
      <c r="L1895" s="35"/>
      <c r="M1895" s="35"/>
    </row>
    <row r="1896" spans="2:13" x14ac:dyDescent="0.35">
      <c r="B1896" s="32"/>
      <c r="C1896" s="35"/>
      <c r="D1896" s="35"/>
      <c r="E1896" s="35"/>
      <c r="F1896" s="35"/>
      <c r="G1896" s="35"/>
      <c r="H1896" s="35"/>
      <c r="I1896" s="35"/>
      <c r="J1896" s="35"/>
      <c r="K1896" s="35"/>
      <c r="L1896" s="35"/>
      <c r="M1896" s="35"/>
    </row>
    <row r="1897" spans="2:13" x14ac:dyDescent="0.35">
      <c r="B1897" s="32"/>
      <c r="C1897" s="35"/>
      <c r="D1897" s="35"/>
      <c r="E1897" s="35"/>
      <c r="F1897" s="35"/>
      <c r="G1897" s="35"/>
      <c r="H1897" s="35"/>
      <c r="I1897" s="35"/>
      <c r="J1897" s="35"/>
      <c r="K1897" s="35"/>
      <c r="L1897" s="35"/>
      <c r="M1897" s="35"/>
    </row>
    <row r="1898" spans="2:13" x14ac:dyDescent="0.35">
      <c r="B1898" s="32"/>
      <c r="C1898" s="35"/>
      <c r="D1898" s="35"/>
      <c r="E1898" s="35"/>
      <c r="F1898" s="35"/>
      <c r="G1898" s="35"/>
      <c r="H1898" s="35"/>
      <c r="I1898" s="35"/>
      <c r="J1898" s="35"/>
      <c r="K1898" s="35"/>
      <c r="L1898" s="35"/>
      <c r="M1898" s="35"/>
    </row>
    <row r="1899" spans="2:13" x14ac:dyDescent="0.35">
      <c r="B1899" s="32"/>
      <c r="C1899" s="35"/>
      <c r="D1899" s="35"/>
      <c r="E1899" s="35"/>
      <c r="F1899" s="35"/>
      <c r="G1899" s="35"/>
      <c r="H1899" s="35"/>
      <c r="I1899" s="35"/>
      <c r="J1899" s="35"/>
      <c r="K1899" s="35"/>
      <c r="L1899" s="35"/>
      <c r="M1899" s="35"/>
    </row>
    <row r="1900" spans="2:13" x14ac:dyDescent="0.35">
      <c r="B1900" s="32"/>
      <c r="C1900" s="35"/>
      <c r="D1900" s="35"/>
      <c r="E1900" s="35"/>
      <c r="F1900" s="35"/>
      <c r="G1900" s="35"/>
      <c r="H1900" s="35"/>
      <c r="I1900" s="35"/>
      <c r="J1900" s="35"/>
      <c r="K1900" s="35"/>
      <c r="L1900" s="35"/>
      <c r="M1900" s="35"/>
    </row>
    <row r="1901" spans="2:13" x14ac:dyDescent="0.35">
      <c r="B1901" s="32"/>
      <c r="C1901" s="35"/>
      <c r="D1901" s="35"/>
      <c r="E1901" s="35"/>
      <c r="F1901" s="35"/>
      <c r="G1901" s="35"/>
      <c r="H1901" s="35"/>
      <c r="I1901" s="35"/>
      <c r="J1901" s="35"/>
      <c r="K1901" s="35"/>
      <c r="L1901" s="35"/>
      <c r="M1901" s="35"/>
    </row>
    <row r="1902" spans="2:13" x14ac:dyDescent="0.35">
      <c r="B1902" s="32"/>
      <c r="C1902" s="35"/>
      <c r="D1902" s="35"/>
      <c r="E1902" s="35"/>
      <c r="F1902" s="35"/>
      <c r="G1902" s="35"/>
      <c r="H1902" s="35"/>
      <c r="I1902" s="35"/>
      <c r="J1902" s="35"/>
      <c r="K1902" s="35"/>
      <c r="L1902" s="35"/>
      <c r="M1902" s="35"/>
    </row>
    <row r="1903" spans="2:13" x14ac:dyDescent="0.35">
      <c r="B1903" s="32"/>
      <c r="C1903" s="35"/>
      <c r="D1903" s="35"/>
      <c r="E1903" s="35"/>
      <c r="F1903" s="35"/>
      <c r="G1903" s="35"/>
      <c r="H1903" s="35"/>
      <c r="I1903" s="35"/>
      <c r="J1903" s="35"/>
      <c r="K1903" s="35"/>
      <c r="L1903" s="35"/>
      <c r="M1903" s="35"/>
    </row>
    <row r="1904" spans="2:13" x14ac:dyDescent="0.35">
      <c r="B1904" s="32"/>
      <c r="C1904" s="35"/>
      <c r="D1904" s="35"/>
      <c r="E1904" s="35"/>
      <c r="F1904" s="35"/>
      <c r="G1904" s="35"/>
      <c r="H1904" s="35"/>
      <c r="I1904" s="35"/>
      <c r="J1904" s="35"/>
      <c r="K1904" s="35"/>
      <c r="L1904" s="35"/>
      <c r="M1904" s="35"/>
    </row>
    <row r="1905" spans="2:13" x14ac:dyDescent="0.35">
      <c r="B1905" s="32"/>
      <c r="C1905" s="35"/>
      <c r="D1905" s="35"/>
      <c r="E1905" s="35"/>
      <c r="F1905" s="35"/>
      <c r="G1905" s="35"/>
      <c r="H1905" s="35"/>
      <c r="I1905" s="35"/>
      <c r="J1905" s="35"/>
      <c r="K1905" s="35"/>
      <c r="L1905" s="35"/>
      <c r="M1905" s="35"/>
    </row>
    <row r="1906" spans="2:13" x14ac:dyDescent="0.35">
      <c r="B1906" s="32"/>
      <c r="C1906" s="35"/>
      <c r="D1906" s="35"/>
      <c r="E1906" s="35"/>
      <c r="F1906" s="35"/>
      <c r="G1906" s="35"/>
      <c r="H1906" s="35"/>
      <c r="I1906" s="35"/>
      <c r="J1906" s="35"/>
      <c r="K1906" s="35"/>
      <c r="L1906" s="35"/>
      <c r="M1906" s="35"/>
    </row>
    <row r="1907" spans="2:13" x14ac:dyDescent="0.35">
      <c r="B1907" s="32"/>
      <c r="C1907" s="35"/>
      <c r="D1907" s="35"/>
      <c r="E1907" s="35"/>
      <c r="F1907" s="35"/>
      <c r="G1907" s="35"/>
      <c r="H1907" s="35"/>
      <c r="I1907" s="35"/>
      <c r="J1907" s="35"/>
      <c r="K1907" s="35"/>
      <c r="L1907" s="35"/>
      <c r="M1907" s="35"/>
    </row>
    <row r="1908" spans="2:13" x14ac:dyDescent="0.35">
      <c r="B1908" s="32"/>
      <c r="C1908" s="35"/>
      <c r="D1908" s="35"/>
      <c r="E1908" s="35"/>
      <c r="F1908" s="35"/>
      <c r="G1908" s="35"/>
      <c r="H1908" s="35"/>
      <c r="I1908" s="35"/>
      <c r="J1908" s="35"/>
      <c r="K1908" s="35"/>
      <c r="L1908" s="35"/>
      <c r="M1908" s="35"/>
    </row>
    <row r="1909" spans="2:13" x14ac:dyDescent="0.35">
      <c r="B1909" s="32"/>
      <c r="C1909" s="35"/>
      <c r="D1909" s="35"/>
      <c r="E1909" s="35"/>
      <c r="F1909" s="35"/>
      <c r="G1909" s="35"/>
      <c r="H1909" s="35"/>
      <c r="I1909" s="35"/>
      <c r="J1909" s="35"/>
      <c r="K1909" s="35"/>
      <c r="L1909" s="35"/>
      <c r="M1909" s="35"/>
    </row>
    <row r="1910" spans="2:13" x14ac:dyDescent="0.35">
      <c r="B1910" s="32"/>
      <c r="C1910" s="35"/>
      <c r="D1910" s="35"/>
      <c r="E1910" s="35"/>
      <c r="F1910" s="35"/>
      <c r="G1910" s="35"/>
      <c r="H1910" s="35"/>
      <c r="I1910" s="35"/>
      <c r="J1910" s="35"/>
      <c r="K1910" s="35"/>
      <c r="L1910" s="35"/>
      <c r="M1910" s="35"/>
    </row>
    <row r="1911" spans="2:13" x14ac:dyDescent="0.35">
      <c r="B1911" s="32"/>
      <c r="C1911" s="35"/>
      <c r="D1911" s="35"/>
      <c r="E1911" s="35"/>
      <c r="F1911" s="35"/>
      <c r="G1911" s="35"/>
      <c r="H1911" s="35"/>
      <c r="I1911" s="35"/>
      <c r="J1911" s="35"/>
      <c r="K1911" s="35"/>
      <c r="L1911" s="35"/>
      <c r="M1911" s="35"/>
    </row>
    <row r="1912" spans="2:13" x14ac:dyDescent="0.35">
      <c r="B1912" s="32"/>
      <c r="C1912" s="35"/>
      <c r="D1912" s="35"/>
      <c r="E1912" s="35"/>
      <c r="F1912" s="35"/>
      <c r="G1912" s="35"/>
      <c r="H1912" s="35"/>
      <c r="I1912" s="35"/>
      <c r="J1912" s="35"/>
      <c r="K1912" s="35"/>
      <c r="L1912" s="35"/>
      <c r="M1912" s="35"/>
    </row>
    <row r="1913" spans="2:13" x14ac:dyDescent="0.35">
      <c r="B1913" s="32"/>
      <c r="C1913" s="35"/>
      <c r="D1913" s="35"/>
      <c r="E1913" s="35"/>
      <c r="F1913" s="35"/>
      <c r="G1913" s="35"/>
      <c r="H1913" s="35"/>
      <c r="I1913" s="35"/>
      <c r="J1913" s="35"/>
      <c r="K1913" s="35"/>
      <c r="L1913" s="35"/>
      <c r="M1913" s="35"/>
    </row>
    <row r="1914" spans="2:13" x14ac:dyDescent="0.35">
      <c r="B1914" s="32"/>
      <c r="C1914" s="35"/>
      <c r="D1914" s="35"/>
      <c r="E1914" s="35"/>
      <c r="F1914" s="35"/>
      <c r="G1914" s="35"/>
      <c r="H1914" s="35"/>
      <c r="I1914" s="35"/>
      <c r="J1914" s="35"/>
      <c r="K1914" s="35"/>
      <c r="L1914" s="35"/>
      <c r="M1914" s="35"/>
    </row>
    <row r="1915" spans="2:13" x14ac:dyDescent="0.35">
      <c r="B1915" s="32"/>
      <c r="C1915" s="35"/>
      <c r="D1915" s="35"/>
      <c r="E1915" s="35"/>
      <c r="F1915" s="35"/>
      <c r="G1915" s="35"/>
      <c r="H1915" s="35"/>
      <c r="I1915" s="35"/>
      <c r="J1915" s="35"/>
      <c r="K1915" s="35"/>
      <c r="L1915" s="35"/>
      <c r="M1915" s="35"/>
    </row>
    <row r="1916" spans="2:13" x14ac:dyDescent="0.35">
      <c r="B1916" s="32"/>
      <c r="C1916" s="35"/>
      <c r="D1916" s="35"/>
      <c r="E1916" s="35"/>
      <c r="F1916" s="35"/>
      <c r="G1916" s="35"/>
      <c r="H1916" s="35"/>
      <c r="I1916" s="35"/>
      <c r="J1916" s="35"/>
      <c r="K1916" s="35"/>
      <c r="L1916" s="35"/>
      <c r="M1916" s="35"/>
    </row>
    <row r="1917" spans="2:13" x14ac:dyDescent="0.35">
      <c r="B1917" s="32"/>
      <c r="C1917" s="35"/>
      <c r="D1917" s="35"/>
      <c r="E1917" s="35"/>
      <c r="F1917" s="35"/>
      <c r="G1917" s="35"/>
      <c r="H1917" s="35"/>
      <c r="I1917" s="35"/>
      <c r="J1917" s="35"/>
      <c r="K1917" s="35"/>
      <c r="L1917" s="35"/>
      <c r="M1917" s="35"/>
    </row>
    <row r="1918" spans="2:13" x14ac:dyDescent="0.35">
      <c r="B1918" s="32"/>
      <c r="C1918" s="35"/>
      <c r="D1918" s="35"/>
      <c r="E1918" s="35"/>
      <c r="F1918" s="35"/>
      <c r="G1918" s="35"/>
      <c r="H1918" s="35"/>
      <c r="I1918" s="35"/>
      <c r="J1918" s="35"/>
      <c r="K1918" s="35"/>
      <c r="L1918" s="35"/>
      <c r="M1918" s="35"/>
    </row>
    <row r="1919" spans="2:13" x14ac:dyDescent="0.35">
      <c r="B1919" s="32"/>
      <c r="C1919" s="35"/>
      <c r="D1919" s="35"/>
      <c r="E1919" s="35"/>
      <c r="F1919" s="35"/>
      <c r="G1919" s="35"/>
      <c r="H1919" s="35"/>
      <c r="I1919" s="35"/>
      <c r="J1919" s="35"/>
      <c r="K1919" s="35"/>
      <c r="L1919" s="35"/>
      <c r="M1919" s="35"/>
    </row>
    <row r="1920" spans="2:13" x14ac:dyDescent="0.35">
      <c r="B1920" s="32"/>
      <c r="C1920" s="35"/>
      <c r="D1920" s="35"/>
      <c r="E1920" s="35"/>
      <c r="F1920" s="35"/>
      <c r="G1920" s="35"/>
      <c r="H1920" s="35"/>
      <c r="I1920" s="35"/>
      <c r="J1920" s="35"/>
      <c r="K1920" s="35"/>
      <c r="L1920" s="35"/>
      <c r="M1920" s="35"/>
    </row>
    <row r="1921" spans="2:13" x14ac:dyDescent="0.35">
      <c r="B1921" s="32"/>
      <c r="C1921" s="35"/>
      <c r="D1921" s="35"/>
      <c r="E1921" s="35"/>
      <c r="F1921" s="35"/>
      <c r="G1921" s="35"/>
      <c r="H1921" s="35"/>
      <c r="I1921" s="35"/>
      <c r="J1921" s="35"/>
      <c r="K1921" s="35"/>
      <c r="L1921" s="35"/>
      <c r="M1921" s="35"/>
    </row>
    <row r="1922" spans="2:13" x14ac:dyDescent="0.35">
      <c r="B1922" s="32"/>
      <c r="C1922" s="35"/>
      <c r="D1922" s="35"/>
      <c r="E1922" s="35"/>
      <c r="F1922" s="35"/>
      <c r="G1922" s="35"/>
      <c r="H1922" s="35"/>
      <c r="I1922" s="35"/>
      <c r="J1922" s="35"/>
      <c r="K1922" s="35"/>
      <c r="L1922" s="35"/>
      <c r="M1922" s="35"/>
    </row>
    <row r="1923" spans="2:13" x14ac:dyDescent="0.35">
      <c r="B1923" s="32"/>
      <c r="C1923" s="35"/>
      <c r="D1923" s="35"/>
      <c r="E1923" s="35"/>
      <c r="F1923" s="35"/>
      <c r="G1923" s="35"/>
      <c r="H1923" s="35"/>
      <c r="I1923" s="35"/>
      <c r="J1923" s="35"/>
      <c r="K1923" s="35"/>
      <c r="L1923" s="35"/>
      <c r="M1923" s="35"/>
    </row>
    <row r="1924" spans="2:13" x14ac:dyDescent="0.35">
      <c r="B1924" s="32"/>
      <c r="C1924" s="35"/>
      <c r="D1924" s="35"/>
      <c r="E1924" s="35"/>
      <c r="F1924" s="35"/>
      <c r="G1924" s="35"/>
      <c r="H1924" s="35"/>
      <c r="I1924" s="35"/>
      <c r="J1924" s="35"/>
      <c r="K1924" s="35"/>
      <c r="L1924" s="35"/>
      <c r="M1924" s="35"/>
    </row>
    <row r="1925" spans="2:13" x14ac:dyDescent="0.35">
      <c r="B1925" s="32"/>
      <c r="C1925" s="35"/>
      <c r="D1925" s="35"/>
      <c r="E1925" s="35"/>
      <c r="F1925" s="35"/>
      <c r="G1925" s="35"/>
      <c r="H1925" s="35"/>
      <c r="I1925" s="35"/>
      <c r="J1925" s="35"/>
      <c r="K1925" s="35"/>
      <c r="L1925" s="35"/>
      <c r="M1925" s="35"/>
    </row>
    <row r="1926" spans="2:13" x14ac:dyDescent="0.35">
      <c r="B1926" s="32"/>
      <c r="C1926" s="35"/>
      <c r="D1926" s="35"/>
      <c r="E1926" s="35"/>
      <c r="F1926" s="35"/>
      <c r="G1926" s="35"/>
      <c r="H1926" s="35"/>
      <c r="I1926" s="35"/>
      <c r="J1926" s="35"/>
      <c r="K1926" s="35"/>
      <c r="L1926" s="35"/>
      <c r="M1926" s="35"/>
    </row>
    <row r="1927" spans="2:13" x14ac:dyDescent="0.35">
      <c r="B1927" s="32"/>
      <c r="C1927" s="35"/>
      <c r="D1927" s="35"/>
      <c r="E1927" s="35"/>
      <c r="F1927" s="35"/>
      <c r="G1927" s="35"/>
      <c r="H1927" s="35"/>
      <c r="I1927" s="35"/>
      <c r="J1927" s="35"/>
      <c r="K1927" s="35"/>
      <c r="L1927" s="35"/>
      <c r="M1927" s="35"/>
    </row>
    <row r="1928" spans="2:13" x14ac:dyDescent="0.35">
      <c r="B1928" s="32"/>
      <c r="C1928" s="35"/>
      <c r="D1928" s="35"/>
      <c r="E1928" s="35"/>
      <c r="F1928" s="35"/>
      <c r="G1928" s="35"/>
      <c r="H1928" s="35"/>
      <c r="I1928" s="35"/>
      <c r="J1928" s="35"/>
      <c r="K1928" s="35"/>
      <c r="L1928" s="35"/>
      <c r="M1928" s="35"/>
    </row>
    <row r="1929" spans="2:13" x14ac:dyDescent="0.35">
      <c r="B1929" s="32"/>
      <c r="C1929" s="35"/>
      <c r="D1929" s="35"/>
      <c r="E1929" s="35"/>
      <c r="F1929" s="35"/>
      <c r="G1929" s="35"/>
      <c r="H1929" s="35"/>
      <c r="I1929" s="35"/>
      <c r="J1929" s="35"/>
      <c r="K1929" s="35"/>
      <c r="L1929" s="35"/>
      <c r="M1929" s="35"/>
    </row>
    <row r="1930" spans="2:13" x14ac:dyDescent="0.35">
      <c r="B1930" s="32"/>
      <c r="C1930" s="35"/>
      <c r="D1930" s="35"/>
      <c r="E1930" s="35"/>
      <c r="F1930" s="35"/>
      <c r="G1930" s="35"/>
      <c r="H1930" s="35"/>
      <c r="I1930" s="35"/>
      <c r="J1930" s="35"/>
      <c r="K1930" s="35"/>
      <c r="L1930" s="35"/>
      <c r="M1930" s="35"/>
    </row>
    <row r="1931" spans="2:13" x14ac:dyDescent="0.35">
      <c r="B1931" s="32"/>
      <c r="C1931" s="35"/>
      <c r="D1931" s="35"/>
      <c r="E1931" s="35"/>
      <c r="F1931" s="35"/>
      <c r="G1931" s="35"/>
      <c r="H1931" s="35"/>
      <c r="I1931" s="35"/>
      <c r="J1931" s="35"/>
      <c r="K1931" s="35"/>
      <c r="L1931" s="35"/>
      <c r="M1931" s="35"/>
    </row>
    <row r="1932" spans="2:13" x14ac:dyDescent="0.35">
      <c r="B1932" s="32"/>
      <c r="C1932" s="35"/>
      <c r="D1932" s="35"/>
      <c r="E1932" s="35"/>
      <c r="F1932" s="35"/>
      <c r="G1932" s="35"/>
      <c r="H1932" s="35"/>
      <c r="I1932" s="35"/>
      <c r="J1932" s="35"/>
      <c r="K1932" s="35"/>
      <c r="L1932" s="35"/>
      <c r="M1932" s="35"/>
    </row>
    <row r="1933" spans="2:13" x14ac:dyDescent="0.35">
      <c r="B1933" s="32"/>
      <c r="C1933" s="35"/>
      <c r="D1933" s="35"/>
      <c r="E1933" s="35"/>
      <c r="F1933" s="35"/>
      <c r="G1933" s="35"/>
      <c r="H1933" s="35"/>
      <c r="I1933" s="35"/>
      <c r="J1933" s="35"/>
      <c r="K1933" s="35"/>
      <c r="L1933" s="35"/>
      <c r="M1933" s="35"/>
    </row>
    <row r="1934" spans="2:13" x14ac:dyDescent="0.35">
      <c r="B1934" s="32"/>
      <c r="C1934" s="35"/>
      <c r="D1934" s="35"/>
      <c r="E1934" s="35"/>
      <c r="F1934" s="35"/>
      <c r="G1934" s="35"/>
      <c r="H1934" s="35"/>
      <c r="I1934" s="35"/>
      <c r="J1934" s="35"/>
      <c r="K1934" s="35"/>
      <c r="L1934" s="35"/>
      <c r="M1934" s="35"/>
    </row>
    <row r="1935" spans="2:13" x14ac:dyDescent="0.35">
      <c r="B1935" s="32"/>
      <c r="C1935" s="35"/>
      <c r="D1935" s="35"/>
      <c r="E1935" s="35"/>
      <c r="F1935" s="35"/>
      <c r="G1935" s="35"/>
      <c r="H1935" s="35"/>
      <c r="I1935" s="35"/>
      <c r="J1935" s="35"/>
      <c r="K1935" s="35"/>
      <c r="L1935" s="35"/>
      <c r="M1935" s="35"/>
    </row>
    <row r="1936" spans="2:13" x14ac:dyDescent="0.35">
      <c r="B1936" s="32"/>
      <c r="C1936" s="35"/>
      <c r="D1936" s="35"/>
      <c r="E1936" s="35"/>
      <c r="F1936" s="35"/>
      <c r="G1936" s="35"/>
      <c r="H1936" s="35"/>
      <c r="I1936" s="35"/>
      <c r="J1936" s="35"/>
      <c r="K1936" s="35"/>
      <c r="L1936" s="35"/>
      <c r="M1936" s="35"/>
    </row>
    <row r="1937" spans="2:13" x14ac:dyDescent="0.35">
      <c r="B1937" s="32"/>
      <c r="C1937" s="35"/>
      <c r="D1937" s="35"/>
      <c r="E1937" s="35"/>
      <c r="F1937" s="35"/>
      <c r="G1937" s="35"/>
      <c r="H1937" s="35"/>
      <c r="I1937" s="35"/>
      <c r="J1937" s="35"/>
      <c r="K1937" s="35"/>
      <c r="L1937" s="35"/>
      <c r="M1937" s="35"/>
    </row>
    <row r="1938" spans="2:13" x14ac:dyDescent="0.35">
      <c r="B1938" s="32"/>
      <c r="C1938" s="35"/>
      <c r="D1938" s="35"/>
      <c r="E1938" s="35"/>
      <c r="F1938" s="35"/>
      <c r="G1938" s="35"/>
      <c r="H1938" s="35"/>
      <c r="I1938" s="35"/>
      <c r="J1938" s="35"/>
      <c r="K1938" s="35"/>
      <c r="L1938" s="35"/>
      <c r="M1938" s="35"/>
    </row>
    <row r="1939" spans="2:13" x14ac:dyDescent="0.35">
      <c r="B1939" s="32"/>
      <c r="C1939" s="35"/>
      <c r="D1939" s="35"/>
      <c r="E1939" s="35"/>
      <c r="F1939" s="35"/>
      <c r="G1939" s="35"/>
      <c r="H1939" s="35"/>
      <c r="I1939" s="35"/>
      <c r="J1939" s="35"/>
      <c r="K1939" s="35"/>
      <c r="L1939" s="35"/>
      <c r="M1939" s="35"/>
    </row>
    <row r="1940" spans="2:13" x14ac:dyDescent="0.35">
      <c r="B1940" s="32"/>
      <c r="C1940" s="35"/>
      <c r="D1940" s="35"/>
      <c r="E1940" s="35"/>
      <c r="F1940" s="35"/>
      <c r="G1940" s="35"/>
      <c r="H1940" s="35"/>
      <c r="I1940" s="35"/>
      <c r="J1940" s="35"/>
      <c r="K1940" s="35"/>
      <c r="L1940" s="35"/>
      <c r="M1940" s="35"/>
    </row>
    <row r="1941" spans="2:13" x14ac:dyDescent="0.35">
      <c r="B1941" s="32"/>
      <c r="C1941" s="35"/>
      <c r="D1941" s="35"/>
      <c r="E1941" s="35"/>
      <c r="F1941" s="35"/>
      <c r="G1941" s="35"/>
      <c r="H1941" s="35"/>
      <c r="I1941" s="35"/>
      <c r="J1941" s="35"/>
      <c r="K1941" s="35"/>
      <c r="L1941" s="35"/>
      <c r="M1941" s="35"/>
    </row>
    <row r="1942" spans="2:13" x14ac:dyDescent="0.35">
      <c r="B1942" s="32"/>
      <c r="C1942" s="35"/>
      <c r="D1942" s="35"/>
      <c r="E1942" s="35"/>
      <c r="F1942" s="35"/>
      <c r="G1942" s="35"/>
      <c r="H1942" s="35"/>
      <c r="I1942" s="35"/>
      <c r="J1942" s="35"/>
      <c r="K1942" s="35"/>
      <c r="L1942" s="35"/>
      <c r="M1942" s="35"/>
    </row>
    <row r="1943" spans="2:13" x14ac:dyDescent="0.35">
      <c r="B1943" s="32"/>
      <c r="C1943" s="35"/>
      <c r="D1943" s="35"/>
      <c r="E1943" s="35"/>
      <c r="F1943" s="35"/>
      <c r="G1943" s="35"/>
      <c r="H1943" s="35"/>
      <c r="I1943" s="35"/>
      <c r="J1943" s="35"/>
      <c r="K1943" s="35"/>
      <c r="L1943" s="35"/>
      <c r="M1943" s="35"/>
    </row>
    <row r="1944" spans="2:13" x14ac:dyDescent="0.35">
      <c r="B1944" s="32"/>
      <c r="C1944" s="35"/>
      <c r="D1944" s="35"/>
      <c r="E1944" s="35"/>
      <c r="F1944" s="35"/>
      <c r="G1944" s="35"/>
      <c r="H1944" s="35"/>
      <c r="I1944" s="35"/>
      <c r="J1944" s="35"/>
      <c r="K1944" s="35"/>
      <c r="L1944" s="35"/>
      <c r="M1944" s="35"/>
    </row>
    <row r="1945" spans="2:13" x14ac:dyDescent="0.35">
      <c r="B1945" s="32"/>
      <c r="C1945" s="35"/>
      <c r="D1945" s="35"/>
      <c r="E1945" s="35"/>
      <c r="F1945" s="35"/>
      <c r="G1945" s="35"/>
      <c r="H1945" s="35"/>
      <c r="I1945" s="35"/>
      <c r="J1945" s="35"/>
      <c r="K1945" s="35"/>
      <c r="L1945" s="35"/>
      <c r="M1945" s="35"/>
    </row>
    <row r="1946" spans="2:13" x14ac:dyDescent="0.35">
      <c r="B1946" s="32"/>
      <c r="C1946" s="35"/>
      <c r="D1946" s="35"/>
      <c r="E1946" s="35"/>
      <c r="F1946" s="35"/>
      <c r="G1946" s="35"/>
      <c r="H1946" s="35"/>
      <c r="I1946" s="35"/>
      <c r="J1946" s="35"/>
      <c r="K1946" s="35"/>
      <c r="L1946" s="35"/>
      <c r="M1946" s="35"/>
    </row>
    <row r="1947" spans="2:13" x14ac:dyDescent="0.35">
      <c r="B1947" s="32"/>
      <c r="C1947" s="35"/>
      <c r="D1947" s="35"/>
      <c r="E1947" s="35"/>
      <c r="F1947" s="35"/>
      <c r="G1947" s="35"/>
      <c r="H1947" s="35"/>
      <c r="I1947" s="35"/>
      <c r="J1947" s="35"/>
      <c r="K1947" s="35"/>
      <c r="L1947" s="35"/>
      <c r="M1947" s="35"/>
    </row>
    <row r="1948" spans="2:13" x14ac:dyDescent="0.35">
      <c r="B1948" s="32"/>
      <c r="C1948" s="35"/>
      <c r="D1948" s="35"/>
      <c r="E1948" s="35"/>
      <c r="F1948" s="35"/>
      <c r="G1948" s="35"/>
      <c r="H1948" s="35"/>
      <c r="I1948" s="35"/>
      <c r="J1948" s="35"/>
      <c r="K1948" s="35"/>
      <c r="L1948" s="35"/>
      <c r="M1948" s="35"/>
    </row>
    <row r="1949" spans="2:13" x14ac:dyDescent="0.35">
      <c r="B1949" s="32"/>
      <c r="C1949" s="35"/>
      <c r="D1949" s="35"/>
      <c r="E1949" s="35"/>
      <c r="F1949" s="35"/>
      <c r="G1949" s="35"/>
      <c r="H1949" s="35"/>
      <c r="I1949" s="35"/>
      <c r="J1949" s="35"/>
      <c r="K1949" s="35"/>
      <c r="L1949" s="35"/>
      <c r="M1949" s="35"/>
    </row>
    <row r="1950" spans="2:13" x14ac:dyDescent="0.35">
      <c r="B1950" s="32"/>
      <c r="C1950" s="35"/>
      <c r="D1950" s="35"/>
      <c r="E1950" s="35"/>
      <c r="F1950" s="35"/>
      <c r="G1950" s="35"/>
      <c r="H1950" s="35"/>
      <c r="I1950" s="35"/>
      <c r="J1950" s="35"/>
      <c r="K1950" s="35"/>
      <c r="L1950" s="35"/>
      <c r="M1950" s="35"/>
    </row>
    <row r="1951" spans="2:13" x14ac:dyDescent="0.35">
      <c r="B1951" s="32"/>
      <c r="C1951" s="35"/>
      <c r="D1951" s="35"/>
      <c r="E1951" s="35"/>
      <c r="F1951" s="35"/>
      <c r="G1951" s="35"/>
      <c r="H1951" s="35"/>
      <c r="I1951" s="35"/>
      <c r="J1951" s="35"/>
      <c r="K1951" s="35"/>
      <c r="L1951" s="35"/>
      <c r="M1951" s="35"/>
    </row>
    <row r="1952" spans="2:13" x14ac:dyDescent="0.35">
      <c r="B1952" s="32"/>
      <c r="C1952" s="35"/>
      <c r="D1952" s="35"/>
      <c r="E1952" s="35"/>
      <c r="F1952" s="35"/>
      <c r="G1952" s="35"/>
      <c r="H1952" s="35"/>
      <c r="I1952" s="35"/>
      <c r="J1952" s="35"/>
      <c r="K1952" s="35"/>
      <c r="L1952" s="35"/>
      <c r="M1952" s="35"/>
    </row>
    <row r="1953" spans="2:13" x14ac:dyDescent="0.35">
      <c r="B1953" s="32"/>
      <c r="C1953" s="35"/>
      <c r="D1953" s="35"/>
      <c r="E1953" s="35"/>
      <c r="F1953" s="35"/>
      <c r="G1953" s="35"/>
      <c r="H1953" s="35"/>
      <c r="I1953" s="35"/>
      <c r="J1953" s="35"/>
      <c r="K1953" s="35"/>
      <c r="L1953" s="35"/>
      <c r="M1953" s="35"/>
    </row>
    <row r="1954" spans="2:13" x14ac:dyDescent="0.35">
      <c r="B1954" s="32"/>
      <c r="C1954" s="35"/>
      <c r="D1954" s="35"/>
      <c r="E1954" s="35"/>
      <c r="F1954" s="35"/>
      <c r="G1954" s="35"/>
      <c r="H1954" s="35"/>
      <c r="I1954" s="35"/>
      <c r="J1954" s="35"/>
      <c r="K1954" s="35"/>
      <c r="L1954" s="35"/>
      <c r="M1954" s="35"/>
    </row>
    <row r="1955" spans="2:13" x14ac:dyDescent="0.35">
      <c r="B1955" s="32"/>
      <c r="C1955" s="35"/>
      <c r="D1955" s="35"/>
      <c r="E1955" s="35"/>
      <c r="F1955" s="35"/>
      <c r="G1955" s="35"/>
      <c r="H1955" s="35"/>
      <c r="I1955" s="35"/>
      <c r="J1955" s="35"/>
      <c r="K1955" s="35"/>
      <c r="L1955" s="35"/>
      <c r="M1955" s="35"/>
    </row>
    <row r="1956" spans="2:13" x14ac:dyDescent="0.35">
      <c r="B1956" s="32"/>
      <c r="C1956" s="35"/>
      <c r="D1956" s="35"/>
      <c r="E1956" s="35"/>
      <c r="F1956" s="35"/>
      <c r="G1956" s="35"/>
      <c r="H1956" s="35"/>
      <c r="I1956" s="35"/>
      <c r="J1956" s="35"/>
      <c r="K1956" s="35"/>
      <c r="L1956" s="35"/>
      <c r="M1956" s="35"/>
    </row>
    <row r="1957" spans="2:13" x14ac:dyDescent="0.35">
      <c r="B1957" s="32"/>
      <c r="C1957" s="35"/>
      <c r="D1957" s="35"/>
      <c r="E1957" s="35"/>
      <c r="F1957" s="35"/>
      <c r="G1957" s="35"/>
      <c r="H1957" s="35"/>
      <c r="I1957" s="35"/>
      <c r="J1957" s="35"/>
      <c r="K1957" s="35"/>
      <c r="L1957" s="35"/>
      <c r="M1957" s="35"/>
    </row>
    <row r="1958" spans="2:13" x14ac:dyDescent="0.35">
      <c r="B1958" s="32"/>
      <c r="C1958" s="35"/>
      <c r="D1958" s="35"/>
      <c r="E1958" s="35"/>
      <c r="F1958" s="35"/>
      <c r="G1958" s="35"/>
      <c r="H1958" s="35"/>
      <c r="I1958" s="35"/>
      <c r="J1958" s="35"/>
      <c r="K1958" s="35"/>
      <c r="L1958" s="35"/>
      <c r="M1958" s="35"/>
    </row>
    <row r="1959" spans="2:13" x14ac:dyDescent="0.35">
      <c r="B1959" s="32"/>
      <c r="C1959" s="35"/>
      <c r="D1959" s="35"/>
      <c r="E1959" s="35"/>
      <c r="F1959" s="35"/>
      <c r="G1959" s="35"/>
      <c r="H1959" s="35"/>
      <c r="I1959" s="35"/>
      <c r="J1959" s="35"/>
      <c r="K1959" s="35"/>
      <c r="L1959" s="35"/>
      <c r="M1959" s="35"/>
    </row>
    <row r="1960" spans="2:13" x14ac:dyDescent="0.35">
      <c r="B1960" s="32"/>
      <c r="C1960" s="35"/>
      <c r="D1960" s="35"/>
      <c r="E1960" s="35"/>
      <c r="F1960" s="35"/>
      <c r="G1960" s="35"/>
      <c r="H1960" s="35"/>
      <c r="I1960" s="35"/>
      <c r="J1960" s="35"/>
      <c r="K1960" s="35"/>
      <c r="L1960" s="35"/>
      <c r="M1960" s="35"/>
    </row>
    <row r="1961" spans="2:13" x14ac:dyDescent="0.35">
      <c r="B1961" s="32"/>
      <c r="C1961" s="35"/>
      <c r="D1961" s="35"/>
      <c r="E1961" s="35"/>
      <c r="F1961" s="35"/>
      <c r="G1961" s="35"/>
      <c r="H1961" s="35"/>
      <c r="I1961" s="35"/>
      <c r="J1961" s="35"/>
      <c r="K1961" s="35"/>
      <c r="L1961" s="35"/>
      <c r="M1961" s="35"/>
    </row>
    <row r="1962" spans="2:13" x14ac:dyDescent="0.35">
      <c r="B1962" s="32"/>
      <c r="C1962" s="35"/>
      <c r="D1962" s="35"/>
      <c r="E1962" s="35"/>
      <c r="F1962" s="35"/>
      <c r="G1962" s="35"/>
      <c r="H1962" s="35"/>
      <c r="I1962" s="35"/>
      <c r="J1962" s="35"/>
      <c r="K1962" s="35"/>
      <c r="L1962" s="35"/>
      <c r="M1962" s="35"/>
    </row>
    <row r="1963" spans="2:13" x14ac:dyDescent="0.35">
      <c r="B1963" s="32"/>
      <c r="C1963" s="35"/>
      <c r="D1963" s="35"/>
      <c r="E1963" s="35"/>
      <c r="F1963" s="35"/>
      <c r="G1963" s="35"/>
      <c r="H1963" s="35"/>
      <c r="I1963" s="35"/>
      <c r="J1963" s="35"/>
      <c r="K1963" s="35"/>
      <c r="L1963" s="35"/>
      <c r="M1963" s="35"/>
    </row>
    <row r="1964" spans="2:13" x14ac:dyDescent="0.35">
      <c r="B1964" s="32"/>
      <c r="C1964" s="35"/>
      <c r="D1964" s="35"/>
      <c r="E1964" s="35"/>
      <c r="F1964" s="35"/>
      <c r="G1964" s="35"/>
      <c r="H1964" s="35"/>
      <c r="I1964" s="35"/>
      <c r="J1964" s="35"/>
      <c r="K1964" s="35"/>
      <c r="L1964" s="35"/>
      <c r="M1964" s="35"/>
    </row>
    <row r="1965" spans="2:13" x14ac:dyDescent="0.35">
      <c r="B1965" s="32"/>
      <c r="C1965" s="35"/>
      <c r="D1965" s="35"/>
      <c r="E1965" s="35"/>
      <c r="F1965" s="35"/>
      <c r="G1965" s="35"/>
      <c r="H1965" s="35"/>
      <c r="I1965" s="35"/>
      <c r="J1965" s="35"/>
      <c r="K1965" s="35"/>
      <c r="L1965" s="35"/>
      <c r="M1965" s="35"/>
    </row>
    <row r="1966" spans="2:13" x14ac:dyDescent="0.35">
      <c r="B1966" s="32"/>
      <c r="C1966" s="35"/>
      <c r="D1966" s="35"/>
      <c r="E1966" s="35"/>
      <c r="F1966" s="35"/>
      <c r="G1966" s="35"/>
      <c r="H1966" s="35"/>
      <c r="I1966" s="35"/>
      <c r="J1966" s="35"/>
      <c r="K1966" s="35"/>
      <c r="L1966" s="35"/>
      <c r="M1966" s="35"/>
    </row>
    <row r="1967" spans="2:13" x14ac:dyDescent="0.35">
      <c r="B1967" s="32"/>
      <c r="C1967" s="35"/>
      <c r="D1967" s="35"/>
      <c r="E1967" s="35"/>
      <c r="F1967" s="35"/>
      <c r="G1967" s="35"/>
      <c r="H1967" s="35"/>
      <c r="I1967" s="35"/>
      <c r="J1967" s="35"/>
      <c r="K1967" s="35"/>
      <c r="L1967" s="35"/>
      <c r="M1967" s="35"/>
    </row>
    <row r="1968" spans="2:13" x14ac:dyDescent="0.35">
      <c r="B1968" s="32"/>
      <c r="C1968" s="35"/>
      <c r="D1968" s="35"/>
      <c r="E1968" s="35"/>
      <c r="F1968" s="35"/>
      <c r="G1968" s="35"/>
      <c r="H1968" s="35"/>
      <c r="I1968" s="35"/>
      <c r="J1968" s="35"/>
      <c r="K1968" s="35"/>
      <c r="L1968" s="35"/>
      <c r="M1968" s="35"/>
    </row>
    <row r="1969" spans="2:13" x14ac:dyDescent="0.35">
      <c r="B1969" s="32"/>
      <c r="C1969" s="35"/>
      <c r="D1969" s="35"/>
      <c r="E1969" s="35"/>
      <c r="F1969" s="35"/>
      <c r="G1969" s="35"/>
      <c r="H1969" s="35"/>
      <c r="I1969" s="35"/>
      <c r="J1969" s="35"/>
      <c r="K1969" s="35"/>
      <c r="L1969" s="35"/>
      <c r="M1969" s="35"/>
    </row>
    <row r="1970" spans="2:13" x14ac:dyDescent="0.35">
      <c r="B1970" s="32"/>
      <c r="C1970" s="35"/>
      <c r="D1970" s="35"/>
      <c r="E1970" s="35"/>
      <c r="F1970" s="35"/>
      <c r="G1970" s="35"/>
      <c r="H1970" s="35"/>
      <c r="I1970" s="35"/>
      <c r="J1970" s="35"/>
      <c r="K1970" s="35"/>
      <c r="L1970" s="35"/>
      <c r="M1970" s="35"/>
    </row>
    <row r="1971" spans="2:13" x14ac:dyDescent="0.35">
      <c r="B1971" s="32"/>
      <c r="C1971" s="35"/>
      <c r="D1971" s="35"/>
      <c r="E1971" s="35"/>
      <c r="F1971" s="35"/>
      <c r="G1971" s="35"/>
      <c r="H1971" s="35"/>
      <c r="I1971" s="35"/>
      <c r="J1971" s="35"/>
      <c r="K1971" s="35"/>
      <c r="L1971" s="35"/>
      <c r="M1971" s="35"/>
    </row>
    <row r="1972" spans="2:13" x14ac:dyDescent="0.35">
      <c r="B1972" s="32"/>
      <c r="C1972" s="35"/>
      <c r="D1972" s="35"/>
      <c r="E1972" s="35"/>
      <c r="F1972" s="35"/>
      <c r="G1972" s="35"/>
      <c r="H1972" s="35"/>
      <c r="I1972" s="35"/>
      <c r="J1972" s="35"/>
      <c r="K1972" s="35"/>
      <c r="L1972" s="35"/>
      <c r="M1972" s="35"/>
    </row>
    <row r="1973" spans="2:13" x14ac:dyDescent="0.35">
      <c r="B1973" s="32"/>
      <c r="C1973" s="35"/>
      <c r="D1973" s="35"/>
      <c r="E1973" s="35"/>
      <c r="F1973" s="35"/>
      <c r="G1973" s="35"/>
      <c r="H1973" s="35"/>
      <c r="I1973" s="35"/>
      <c r="J1973" s="35"/>
      <c r="K1973" s="35"/>
      <c r="L1973" s="35"/>
      <c r="M1973" s="35"/>
    </row>
    <row r="1974" spans="2:13" x14ac:dyDescent="0.35">
      <c r="B1974" s="32"/>
      <c r="C1974" s="35"/>
      <c r="D1974" s="35"/>
      <c r="E1974" s="35"/>
      <c r="F1974" s="35"/>
      <c r="G1974" s="35"/>
      <c r="H1974" s="35"/>
      <c r="I1974" s="35"/>
      <c r="J1974" s="35"/>
      <c r="K1974" s="35"/>
      <c r="L1974" s="35"/>
      <c r="M1974" s="35"/>
    </row>
    <row r="1975" spans="2:13" x14ac:dyDescent="0.35">
      <c r="B1975" s="32"/>
      <c r="C1975" s="35"/>
      <c r="D1975" s="35"/>
      <c r="E1975" s="35"/>
      <c r="F1975" s="35"/>
      <c r="G1975" s="35"/>
      <c r="H1975" s="35"/>
      <c r="I1975" s="35"/>
      <c r="J1975" s="35"/>
      <c r="K1975" s="35"/>
      <c r="L1975" s="35"/>
      <c r="M1975" s="35"/>
    </row>
    <row r="1976" spans="2:13" x14ac:dyDescent="0.35">
      <c r="B1976" s="32"/>
      <c r="C1976" s="35"/>
      <c r="D1976" s="35"/>
      <c r="E1976" s="35"/>
      <c r="F1976" s="35"/>
      <c r="G1976" s="35"/>
      <c r="H1976" s="35"/>
      <c r="I1976" s="35"/>
      <c r="J1976" s="35"/>
      <c r="K1976" s="35"/>
      <c r="L1976" s="35"/>
      <c r="M1976" s="35"/>
    </row>
    <row r="1977" spans="2:13" x14ac:dyDescent="0.35">
      <c r="B1977" s="32"/>
      <c r="C1977" s="35"/>
      <c r="D1977" s="35"/>
      <c r="E1977" s="35"/>
      <c r="F1977" s="35"/>
      <c r="G1977" s="35"/>
      <c r="H1977" s="35"/>
      <c r="I1977" s="35"/>
      <c r="J1977" s="35"/>
      <c r="K1977" s="35"/>
      <c r="L1977" s="35"/>
      <c r="M1977" s="35"/>
    </row>
    <row r="1978" spans="2:13" x14ac:dyDescent="0.35">
      <c r="B1978" s="32"/>
      <c r="C1978" s="35"/>
      <c r="D1978" s="35"/>
      <c r="E1978" s="35"/>
      <c r="F1978" s="35"/>
      <c r="G1978" s="35"/>
      <c r="H1978" s="35"/>
      <c r="I1978" s="35"/>
      <c r="J1978" s="35"/>
      <c r="K1978" s="35"/>
      <c r="L1978" s="35"/>
      <c r="M1978" s="35"/>
    </row>
    <row r="1979" spans="2:13" x14ac:dyDescent="0.35">
      <c r="B1979" s="32"/>
      <c r="C1979" s="35"/>
      <c r="D1979" s="35"/>
      <c r="E1979" s="35"/>
      <c r="F1979" s="35"/>
      <c r="G1979" s="35"/>
      <c r="H1979" s="35"/>
      <c r="I1979" s="35"/>
      <c r="J1979" s="35"/>
      <c r="K1979" s="35"/>
      <c r="L1979" s="35"/>
      <c r="M1979" s="35"/>
    </row>
    <row r="1980" spans="2:13" x14ac:dyDescent="0.35">
      <c r="B1980" s="32"/>
      <c r="C1980" s="35"/>
      <c r="D1980" s="35"/>
      <c r="E1980" s="35"/>
      <c r="F1980" s="35"/>
      <c r="G1980" s="35"/>
      <c r="H1980" s="35"/>
      <c r="I1980" s="35"/>
      <c r="J1980" s="35"/>
      <c r="K1980" s="35"/>
      <c r="L1980" s="35"/>
      <c r="M1980" s="35"/>
    </row>
    <row r="1981" spans="2:13" x14ac:dyDescent="0.35">
      <c r="B1981" s="32"/>
      <c r="C1981" s="35"/>
      <c r="D1981" s="35"/>
      <c r="E1981" s="35"/>
      <c r="F1981" s="35"/>
      <c r="G1981" s="35"/>
      <c r="H1981" s="35"/>
      <c r="I1981" s="35"/>
      <c r="J1981" s="35"/>
      <c r="K1981" s="35"/>
      <c r="L1981" s="35"/>
      <c r="M1981" s="35"/>
    </row>
    <row r="1982" spans="2:13" x14ac:dyDescent="0.35">
      <c r="B1982" s="32"/>
      <c r="C1982" s="35"/>
      <c r="D1982" s="35"/>
      <c r="E1982" s="35"/>
      <c r="F1982" s="35"/>
      <c r="G1982" s="35"/>
      <c r="H1982" s="35"/>
      <c r="I1982" s="35"/>
      <c r="J1982" s="35"/>
      <c r="K1982" s="35"/>
      <c r="L1982" s="35"/>
      <c r="M1982" s="35"/>
    </row>
    <row r="1983" spans="2:13" x14ac:dyDescent="0.35">
      <c r="B1983" s="32"/>
      <c r="C1983" s="35"/>
      <c r="D1983" s="35"/>
      <c r="E1983" s="35"/>
      <c r="F1983" s="35"/>
      <c r="G1983" s="35"/>
      <c r="H1983" s="35"/>
      <c r="I1983" s="35"/>
      <c r="J1983" s="35"/>
      <c r="K1983" s="35"/>
      <c r="L1983" s="35"/>
      <c r="M1983" s="35"/>
    </row>
    <row r="1984" spans="2:13" x14ac:dyDescent="0.35">
      <c r="B1984" s="32"/>
      <c r="C1984" s="35"/>
      <c r="D1984" s="35"/>
      <c r="E1984" s="35"/>
      <c r="F1984" s="35"/>
      <c r="G1984" s="35"/>
      <c r="H1984" s="35"/>
      <c r="I1984" s="35"/>
      <c r="J1984" s="35"/>
      <c r="K1984" s="35"/>
      <c r="L1984" s="35"/>
      <c r="M1984" s="35"/>
    </row>
    <row r="1985" spans="2:13" x14ac:dyDescent="0.35">
      <c r="B1985" s="32"/>
      <c r="C1985" s="35"/>
      <c r="D1985" s="35"/>
      <c r="E1985" s="35"/>
      <c r="F1985" s="35"/>
      <c r="G1985" s="35"/>
      <c r="H1985" s="35"/>
      <c r="I1985" s="35"/>
      <c r="J1985" s="35"/>
      <c r="K1985" s="35"/>
      <c r="L1985" s="35"/>
      <c r="M1985" s="35"/>
    </row>
    <row r="1986" spans="2:13" x14ac:dyDescent="0.35">
      <c r="B1986" s="32"/>
      <c r="C1986" s="35"/>
      <c r="D1986" s="35"/>
      <c r="E1986" s="35"/>
      <c r="F1986" s="35"/>
      <c r="G1986" s="35"/>
      <c r="H1986" s="35"/>
      <c r="I1986" s="35"/>
      <c r="J1986" s="35"/>
      <c r="K1986" s="35"/>
      <c r="L1986" s="35"/>
      <c r="M1986" s="35"/>
    </row>
    <row r="1987" spans="2:13" x14ac:dyDescent="0.35">
      <c r="B1987" s="32"/>
      <c r="C1987" s="35"/>
      <c r="D1987" s="35"/>
      <c r="E1987" s="35"/>
      <c r="F1987" s="35"/>
      <c r="G1987" s="35"/>
      <c r="H1987" s="35"/>
      <c r="I1987" s="35"/>
      <c r="J1987" s="35"/>
      <c r="K1987" s="35"/>
      <c r="L1987" s="35"/>
      <c r="M1987" s="35"/>
    </row>
    <row r="1988" spans="2:13" x14ac:dyDescent="0.35">
      <c r="B1988" s="32"/>
      <c r="C1988" s="35"/>
      <c r="D1988" s="35"/>
      <c r="E1988" s="35"/>
      <c r="F1988" s="35"/>
      <c r="G1988" s="35"/>
      <c r="H1988" s="35"/>
      <c r="I1988" s="35"/>
      <c r="J1988" s="35"/>
      <c r="K1988" s="35"/>
      <c r="L1988" s="35"/>
      <c r="M1988" s="35"/>
    </row>
    <row r="1989" spans="2:13" x14ac:dyDescent="0.35">
      <c r="B1989" s="32"/>
      <c r="C1989" s="35"/>
      <c r="D1989" s="35"/>
      <c r="E1989" s="35"/>
      <c r="F1989" s="35"/>
      <c r="G1989" s="35"/>
      <c r="H1989" s="35"/>
      <c r="I1989" s="35"/>
      <c r="J1989" s="35"/>
      <c r="K1989" s="35"/>
      <c r="L1989" s="35"/>
      <c r="M1989" s="35"/>
    </row>
    <row r="1990" spans="2:13" x14ac:dyDescent="0.35">
      <c r="B1990" s="32"/>
      <c r="C1990" s="35"/>
      <c r="D1990" s="35"/>
      <c r="E1990" s="35"/>
      <c r="F1990" s="35"/>
      <c r="G1990" s="35"/>
      <c r="H1990" s="35"/>
      <c r="I1990" s="35"/>
      <c r="J1990" s="35"/>
      <c r="K1990" s="35"/>
      <c r="L1990" s="35"/>
      <c r="M1990" s="35"/>
    </row>
    <row r="1991" spans="2:13" x14ac:dyDescent="0.35">
      <c r="B1991" s="32"/>
      <c r="C1991" s="35"/>
      <c r="D1991" s="35"/>
      <c r="E1991" s="35"/>
      <c r="F1991" s="35"/>
      <c r="G1991" s="35"/>
      <c r="H1991" s="35"/>
      <c r="I1991" s="35"/>
      <c r="J1991" s="35"/>
      <c r="K1991" s="35"/>
      <c r="L1991" s="35"/>
      <c r="M1991" s="35"/>
    </row>
    <row r="1992" spans="2:13" x14ac:dyDescent="0.35">
      <c r="B1992" s="32"/>
      <c r="C1992" s="35"/>
      <c r="D1992" s="35"/>
      <c r="E1992" s="35"/>
      <c r="F1992" s="35"/>
      <c r="G1992" s="35"/>
      <c r="H1992" s="35"/>
      <c r="I1992" s="35"/>
      <c r="J1992" s="35"/>
      <c r="K1992" s="35"/>
      <c r="L1992" s="35"/>
      <c r="M1992" s="35"/>
    </row>
    <row r="1993" spans="2:13" x14ac:dyDescent="0.35">
      <c r="B1993" s="32"/>
      <c r="C1993" s="35"/>
      <c r="D1993" s="35"/>
      <c r="E1993" s="35"/>
      <c r="F1993" s="35"/>
      <c r="G1993" s="35"/>
      <c r="H1993" s="35"/>
      <c r="I1993" s="35"/>
      <c r="J1993" s="35"/>
      <c r="K1993" s="35"/>
      <c r="L1993" s="35"/>
      <c r="M1993" s="35"/>
    </row>
    <row r="1994" spans="2:13" x14ac:dyDescent="0.35">
      <c r="B1994" s="32"/>
      <c r="C1994" s="35"/>
      <c r="D1994" s="35"/>
      <c r="E1994" s="35"/>
      <c r="F1994" s="35"/>
      <c r="G1994" s="35"/>
      <c r="H1994" s="35"/>
      <c r="I1994" s="35"/>
      <c r="J1994" s="35"/>
      <c r="K1994" s="35"/>
      <c r="L1994" s="35"/>
      <c r="M1994" s="35"/>
    </row>
    <row r="1995" spans="2:13" x14ac:dyDescent="0.35">
      <c r="B1995" s="32"/>
      <c r="C1995" s="35"/>
      <c r="D1995" s="35"/>
      <c r="E1995" s="35"/>
      <c r="F1995" s="35"/>
      <c r="G1995" s="35"/>
      <c r="H1995" s="35"/>
      <c r="I1995" s="35"/>
      <c r="J1995" s="35"/>
      <c r="K1995" s="35"/>
      <c r="L1995" s="35"/>
      <c r="M1995" s="35"/>
    </row>
    <row r="1996" spans="2:13" x14ac:dyDescent="0.35">
      <c r="B1996" s="32"/>
      <c r="C1996" s="35"/>
      <c r="D1996" s="35"/>
      <c r="E1996" s="35"/>
      <c r="F1996" s="35"/>
      <c r="G1996" s="35"/>
      <c r="H1996" s="35"/>
      <c r="I1996" s="35"/>
      <c r="J1996" s="35"/>
      <c r="K1996" s="35"/>
      <c r="L1996" s="35"/>
      <c r="M1996" s="35"/>
    </row>
    <row r="1997" spans="2:13" x14ac:dyDescent="0.35">
      <c r="B1997" s="32"/>
      <c r="C1997" s="35"/>
      <c r="D1997" s="35"/>
      <c r="E1997" s="35"/>
      <c r="F1997" s="35"/>
      <c r="G1997" s="35"/>
      <c r="H1997" s="35"/>
      <c r="I1997" s="35"/>
      <c r="J1997" s="35"/>
      <c r="K1997" s="35"/>
      <c r="L1997" s="35"/>
      <c r="M1997" s="35"/>
    </row>
    <row r="1998" spans="2:13" x14ac:dyDescent="0.35">
      <c r="B1998" s="32"/>
      <c r="C1998" s="35"/>
      <c r="D1998" s="35"/>
      <c r="E1998" s="35"/>
      <c r="F1998" s="35"/>
      <c r="G1998" s="35"/>
      <c r="H1998" s="35"/>
      <c r="I1998" s="35"/>
      <c r="J1998" s="35"/>
      <c r="K1998" s="35"/>
      <c r="L1998" s="35"/>
      <c r="M1998" s="35"/>
    </row>
    <row r="1999" spans="2:13" x14ac:dyDescent="0.35">
      <c r="B1999" s="32"/>
      <c r="C1999" s="35"/>
      <c r="D1999" s="35"/>
      <c r="E1999" s="35"/>
      <c r="F1999" s="35"/>
      <c r="G1999" s="35"/>
      <c r="H1999" s="35"/>
      <c r="I1999" s="35"/>
      <c r="J1999" s="35"/>
      <c r="K1999" s="35"/>
      <c r="L1999" s="35"/>
      <c r="M1999" s="35"/>
    </row>
    <row r="2000" spans="2:13" x14ac:dyDescent="0.35">
      <c r="B2000" s="32"/>
      <c r="C2000" s="35"/>
      <c r="D2000" s="35"/>
      <c r="E2000" s="35"/>
      <c r="F2000" s="35"/>
      <c r="G2000" s="35"/>
      <c r="H2000" s="35"/>
      <c r="I2000" s="35"/>
      <c r="J2000" s="35"/>
      <c r="K2000" s="35"/>
      <c r="L2000" s="35"/>
      <c r="M2000" s="35"/>
    </row>
    <row r="2001" spans="2:13" x14ac:dyDescent="0.35">
      <c r="B2001" s="32"/>
      <c r="C2001" s="35"/>
      <c r="D2001" s="35"/>
      <c r="E2001" s="35"/>
      <c r="F2001" s="35"/>
      <c r="G2001" s="35"/>
      <c r="H2001" s="35"/>
      <c r="I2001" s="35"/>
      <c r="J2001" s="35"/>
      <c r="K2001" s="35"/>
      <c r="L2001" s="35"/>
      <c r="M2001" s="35"/>
    </row>
    <row r="2002" spans="2:13" x14ac:dyDescent="0.35">
      <c r="B2002" s="32"/>
      <c r="C2002" s="35"/>
      <c r="D2002" s="35"/>
      <c r="E2002" s="35"/>
      <c r="F2002" s="35"/>
      <c r="G2002" s="35"/>
      <c r="H2002" s="35"/>
      <c r="I2002" s="35"/>
      <c r="J2002" s="35"/>
      <c r="K2002" s="35"/>
      <c r="L2002" s="35"/>
      <c r="M2002" s="35"/>
    </row>
    <row r="2003" spans="2:13" x14ac:dyDescent="0.35">
      <c r="B2003" s="32"/>
      <c r="C2003" s="35"/>
      <c r="D2003" s="35"/>
      <c r="E2003" s="35"/>
      <c r="F2003" s="35"/>
      <c r="G2003" s="35"/>
      <c r="H2003" s="35"/>
      <c r="I2003" s="35"/>
      <c r="J2003" s="35"/>
      <c r="K2003" s="35"/>
      <c r="L2003" s="35"/>
      <c r="M2003" s="35"/>
    </row>
    <row r="2004" spans="2:13" x14ac:dyDescent="0.35">
      <c r="B2004" s="32"/>
      <c r="C2004" s="35"/>
      <c r="D2004" s="35"/>
      <c r="E2004" s="35"/>
      <c r="F2004" s="35"/>
      <c r="G2004" s="35"/>
      <c r="H2004" s="35"/>
      <c r="I2004" s="35"/>
      <c r="J2004" s="35"/>
      <c r="K2004" s="35"/>
      <c r="L2004" s="35"/>
      <c r="M2004" s="35"/>
    </row>
    <row r="2005" spans="2:13" x14ac:dyDescent="0.35">
      <c r="B2005" s="32"/>
      <c r="C2005" s="35"/>
      <c r="D2005" s="35"/>
      <c r="E2005" s="35"/>
      <c r="F2005" s="35"/>
      <c r="G2005" s="35"/>
      <c r="H2005" s="35"/>
      <c r="I2005" s="35"/>
      <c r="J2005" s="35"/>
      <c r="K2005" s="35"/>
      <c r="L2005" s="35"/>
      <c r="M2005" s="35"/>
    </row>
    <row r="2006" spans="2:13" x14ac:dyDescent="0.35">
      <c r="B2006" s="32"/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35"/>
    </row>
    <row r="2007" spans="2:13" x14ac:dyDescent="0.35">
      <c r="B2007" s="32"/>
      <c r="C2007" s="35"/>
      <c r="D2007" s="35"/>
      <c r="E2007" s="35"/>
      <c r="F2007" s="35"/>
      <c r="G2007" s="35"/>
      <c r="H2007" s="35"/>
      <c r="I2007" s="35"/>
      <c r="J2007" s="35"/>
      <c r="K2007" s="35"/>
      <c r="L2007" s="35"/>
      <c r="M2007" s="35"/>
    </row>
    <row r="2008" spans="2:13" x14ac:dyDescent="0.35">
      <c r="B2008" s="32"/>
      <c r="C2008" s="35"/>
      <c r="D2008" s="35"/>
      <c r="E2008" s="35"/>
      <c r="F2008" s="35"/>
      <c r="G2008" s="35"/>
      <c r="H2008" s="35"/>
      <c r="I2008" s="35"/>
      <c r="J2008" s="35"/>
      <c r="K2008" s="35"/>
      <c r="L2008" s="35"/>
      <c r="M2008" s="35"/>
    </row>
    <row r="2009" spans="2:13" x14ac:dyDescent="0.35">
      <c r="B2009" s="32"/>
      <c r="C2009" s="35"/>
      <c r="D2009" s="35"/>
      <c r="E2009" s="35"/>
      <c r="F2009" s="35"/>
      <c r="G2009" s="35"/>
      <c r="H2009" s="35"/>
      <c r="I2009" s="35"/>
      <c r="J2009" s="35"/>
      <c r="K2009" s="35"/>
      <c r="L2009" s="35"/>
      <c r="M2009" s="35"/>
    </row>
    <row r="2010" spans="2:13" x14ac:dyDescent="0.35">
      <c r="B2010" s="32"/>
      <c r="C2010" s="35"/>
      <c r="D2010" s="35"/>
      <c r="E2010" s="35"/>
      <c r="F2010" s="35"/>
      <c r="G2010" s="35"/>
      <c r="H2010" s="35"/>
      <c r="I2010" s="35"/>
      <c r="J2010" s="35"/>
      <c r="K2010" s="35"/>
      <c r="L2010" s="35"/>
      <c r="M2010" s="35"/>
    </row>
    <row r="2011" spans="2:13" x14ac:dyDescent="0.35">
      <c r="B2011" s="32"/>
      <c r="C2011" s="35"/>
      <c r="D2011" s="35"/>
      <c r="E2011" s="35"/>
      <c r="F2011" s="35"/>
      <c r="G2011" s="35"/>
      <c r="H2011" s="35"/>
      <c r="I2011" s="35"/>
      <c r="J2011" s="35"/>
      <c r="K2011" s="35"/>
      <c r="L2011" s="35"/>
      <c r="M2011" s="35"/>
    </row>
    <row r="2012" spans="2:13" x14ac:dyDescent="0.35">
      <c r="B2012" s="32"/>
      <c r="C2012" s="35"/>
      <c r="D2012" s="35"/>
      <c r="E2012" s="35"/>
      <c r="F2012" s="35"/>
      <c r="G2012" s="35"/>
      <c r="H2012" s="35"/>
      <c r="I2012" s="35"/>
      <c r="J2012" s="35"/>
      <c r="K2012" s="35"/>
      <c r="L2012" s="35"/>
      <c r="M2012" s="35"/>
    </row>
    <row r="2013" spans="2:13" x14ac:dyDescent="0.35">
      <c r="B2013" s="32"/>
      <c r="C2013" s="35"/>
      <c r="D2013" s="35"/>
      <c r="E2013" s="35"/>
      <c r="F2013" s="35"/>
      <c r="G2013" s="35"/>
      <c r="H2013" s="35"/>
      <c r="I2013" s="35"/>
      <c r="J2013" s="35"/>
      <c r="K2013" s="35"/>
      <c r="L2013" s="35"/>
      <c r="M2013" s="35"/>
    </row>
    <row r="2014" spans="2:13" x14ac:dyDescent="0.35">
      <c r="B2014" s="32"/>
      <c r="C2014" s="35"/>
      <c r="D2014" s="35"/>
      <c r="E2014" s="35"/>
      <c r="F2014" s="35"/>
      <c r="G2014" s="35"/>
      <c r="H2014" s="35"/>
      <c r="I2014" s="35"/>
      <c r="J2014" s="35"/>
      <c r="K2014" s="35"/>
      <c r="L2014" s="35"/>
      <c r="M2014" s="35"/>
    </row>
    <row r="2015" spans="2:13" x14ac:dyDescent="0.35">
      <c r="B2015" s="32"/>
      <c r="C2015" s="35"/>
      <c r="D2015" s="35"/>
      <c r="E2015" s="35"/>
      <c r="F2015" s="35"/>
      <c r="G2015" s="35"/>
      <c r="H2015" s="35"/>
      <c r="I2015" s="35"/>
      <c r="J2015" s="35"/>
      <c r="K2015" s="35"/>
      <c r="L2015" s="35"/>
      <c r="M2015" s="35"/>
    </row>
    <row r="2016" spans="2:13" x14ac:dyDescent="0.35">
      <c r="B2016" s="32"/>
      <c r="C2016" s="35"/>
      <c r="D2016" s="35"/>
      <c r="E2016" s="35"/>
      <c r="F2016" s="35"/>
      <c r="G2016" s="35"/>
      <c r="H2016" s="35"/>
      <c r="I2016" s="35"/>
      <c r="J2016" s="35"/>
      <c r="K2016" s="35"/>
      <c r="L2016" s="35"/>
      <c r="M2016" s="35"/>
    </row>
    <row r="2017" spans="2:13" x14ac:dyDescent="0.35">
      <c r="B2017" s="32"/>
      <c r="C2017" s="35"/>
      <c r="D2017" s="35"/>
      <c r="E2017" s="35"/>
      <c r="F2017" s="35"/>
      <c r="G2017" s="35"/>
      <c r="H2017" s="35"/>
      <c r="I2017" s="35"/>
      <c r="J2017" s="35"/>
      <c r="K2017" s="35"/>
      <c r="L2017" s="35"/>
      <c r="M2017" s="35"/>
    </row>
    <row r="2018" spans="2:13" x14ac:dyDescent="0.35">
      <c r="B2018" s="32"/>
      <c r="C2018" s="35"/>
      <c r="D2018" s="35"/>
      <c r="E2018" s="35"/>
      <c r="F2018" s="35"/>
      <c r="G2018" s="35"/>
      <c r="H2018" s="35"/>
      <c r="I2018" s="35"/>
      <c r="J2018" s="35"/>
      <c r="K2018" s="35"/>
      <c r="L2018" s="35"/>
      <c r="M2018" s="35"/>
    </row>
    <row r="2019" spans="2:13" x14ac:dyDescent="0.35">
      <c r="B2019" s="32"/>
      <c r="C2019" s="35"/>
      <c r="D2019" s="35"/>
      <c r="E2019" s="35"/>
      <c r="F2019" s="35"/>
      <c r="G2019" s="35"/>
      <c r="H2019" s="35"/>
      <c r="I2019" s="35"/>
      <c r="J2019" s="35"/>
      <c r="K2019" s="35"/>
      <c r="L2019" s="35"/>
      <c r="M2019" s="35"/>
    </row>
    <row r="2020" spans="2:13" x14ac:dyDescent="0.35">
      <c r="B2020" s="32"/>
      <c r="C2020" s="35"/>
      <c r="D2020" s="35"/>
      <c r="E2020" s="35"/>
      <c r="F2020" s="35"/>
      <c r="G2020" s="35"/>
      <c r="H2020" s="35"/>
      <c r="I2020" s="35"/>
      <c r="J2020" s="35"/>
      <c r="K2020" s="35"/>
      <c r="L2020" s="35"/>
      <c r="M2020" s="35"/>
    </row>
    <row r="2021" spans="2:13" x14ac:dyDescent="0.35">
      <c r="B2021" s="32"/>
      <c r="C2021" s="35"/>
      <c r="D2021" s="35"/>
      <c r="E2021" s="35"/>
      <c r="F2021" s="35"/>
      <c r="G2021" s="35"/>
      <c r="H2021" s="35"/>
      <c r="I2021" s="35"/>
      <c r="J2021" s="35"/>
      <c r="K2021" s="35"/>
      <c r="L2021" s="35"/>
      <c r="M2021" s="35"/>
    </row>
    <row r="2022" spans="2:13" x14ac:dyDescent="0.35">
      <c r="B2022" s="32"/>
      <c r="C2022" s="35"/>
      <c r="D2022" s="35"/>
      <c r="E2022" s="35"/>
      <c r="F2022" s="35"/>
      <c r="G2022" s="35"/>
      <c r="H2022" s="35"/>
      <c r="I2022" s="35"/>
      <c r="J2022" s="35"/>
      <c r="K2022" s="35"/>
      <c r="L2022" s="35"/>
      <c r="M2022" s="35"/>
    </row>
    <row r="2023" spans="2:13" x14ac:dyDescent="0.35">
      <c r="B2023" s="32"/>
      <c r="C2023" s="35"/>
      <c r="D2023" s="35"/>
      <c r="E2023" s="35"/>
      <c r="F2023" s="35"/>
      <c r="G2023" s="35"/>
      <c r="H2023" s="35"/>
      <c r="I2023" s="35"/>
      <c r="J2023" s="35"/>
      <c r="K2023" s="35"/>
      <c r="L2023" s="35"/>
      <c r="M2023" s="35"/>
    </row>
    <row r="2024" spans="2:13" x14ac:dyDescent="0.35">
      <c r="B2024" s="32"/>
      <c r="C2024" s="35"/>
      <c r="D2024" s="35"/>
      <c r="E2024" s="35"/>
      <c r="F2024" s="35"/>
      <c r="G2024" s="35"/>
      <c r="H2024" s="35"/>
      <c r="I2024" s="35"/>
      <c r="J2024" s="35"/>
      <c r="K2024" s="35"/>
      <c r="L2024" s="35"/>
      <c r="M2024" s="35"/>
    </row>
    <row r="2025" spans="2:13" x14ac:dyDescent="0.35">
      <c r="B2025" s="32"/>
      <c r="C2025" s="35"/>
      <c r="D2025" s="35"/>
      <c r="E2025" s="35"/>
      <c r="F2025" s="35"/>
      <c r="G2025" s="35"/>
      <c r="H2025" s="35"/>
      <c r="I2025" s="35"/>
      <c r="J2025" s="35"/>
      <c r="K2025" s="35"/>
      <c r="L2025" s="35"/>
      <c r="M2025" s="35"/>
    </row>
    <row r="2026" spans="2:13" x14ac:dyDescent="0.35">
      <c r="B2026" s="32"/>
      <c r="C2026" s="35"/>
      <c r="D2026" s="35"/>
      <c r="E2026" s="35"/>
      <c r="F2026" s="35"/>
      <c r="G2026" s="35"/>
      <c r="H2026" s="35"/>
      <c r="I2026" s="35"/>
      <c r="J2026" s="35"/>
      <c r="K2026" s="35"/>
      <c r="L2026" s="35"/>
      <c r="M2026" s="35"/>
    </row>
    <row r="2027" spans="2:13" x14ac:dyDescent="0.35">
      <c r="B2027" s="32"/>
      <c r="C2027" s="35"/>
      <c r="D2027" s="35"/>
      <c r="E2027" s="35"/>
      <c r="F2027" s="35"/>
      <c r="G2027" s="35"/>
      <c r="H2027" s="35"/>
      <c r="I2027" s="35"/>
      <c r="J2027" s="35"/>
      <c r="K2027" s="35"/>
      <c r="L2027" s="35"/>
      <c r="M2027" s="35"/>
    </row>
    <row r="2028" spans="2:13" x14ac:dyDescent="0.35">
      <c r="B2028" s="32"/>
      <c r="C2028" s="35"/>
      <c r="D2028" s="35"/>
      <c r="E2028" s="35"/>
      <c r="F2028" s="35"/>
      <c r="G2028" s="35"/>
      <c r="H2028" s="35"/>
      <c r="I2028" s="35"/>
      <c r="J2028" s="35"/>
      <c r="K2028" s="35"/>
      <c r="L2028" s="35"/>
      <c r="M2028" s="35"/>
    </row>
    <row r="2029" spans="2:13" x14ac:dyDescent="0.35">
      <c r="B2029" s="32"/>
      <c r="C2029" s="35"/>
      <c r="D2029" s="35"/>
      <c r="E2029" s="35"/>
      <c r="F2029" s="35"/>
      <c r="G2029" s="35"/>
      <c r="H2029" s="35"/>
      <c r="I2029" s="35"/>
      <c r="J2029" s="35"/>
      <c r="K2029" s="35"/>
      <c r="L2029" s="35"/>
      <c r="M2029" s="35"/>
    </row>
    <row r="2030" spans="2:13" x14ac:dyDescent="0.35">
      <c r="B2030" s="32"/>
      <c r="C2030" s="35"/>
      <c r="D2030" s="35"/>
      <c r="E2030" s="35"/>
      <c r="F2030" s="35"/>
      <c r="G2030" s="35"/>
      <c r="H2030" s="35"/>
      <c r="I2030" s="35"/>
      <c r="J2030" s="35"/>
      <c r="K2030" s="35"/>
      <c r="L2030" s="35"/>
      <c r="M2030" s="35"/>
    </row>
    <row r="2031" spans="2:13" x14ac:dyDescent="0.35">
      <c r="B2031" s="32"/>
      <c r="C2031" s="35"/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</row>
    <row r="2032" spans="2:13" x14ac:dyDescent="0.35">
      <c r="B2032" s="32"/>
      <c r="C2032" s="35"/>
      <c r="D2032" s="35"/>
      <c r="E2032" s="35"/>
      <c r="F2032" s="35"/>
      <c r="G2032" s="35"/>
      <c r="H2032" s="35"/>
      <c r="I2032" s="35"/>
      <c r="J2032" s="35"/>
      <c r="K2032" s="35"/>
      <c r="L2032" s="35"/>
      <c r="M2032" s="35"/>
    </row>
    <row r="2033" spans="2:13" x14ac:dyDescent="0.35">
      <c r="B2033" s="32"/>
      <c r="C2033" s="35"/>
      <c r="D2033" s="35"/>
      <c r="E2033" s="35"/>
      <c r="F2033" s="35"/>
      <c r="G2033" s="35"/>
      <c r="H2033" s="35"/>
      <c r="I2033" s="35"/>
      <c r="J2033" s="35"/>
      <c r="K2033" s="35"/>
      <c r="L2033" s="35"/>
      <c r="M2033" s="35"/>
    </row>
    <row r="2034" spans="2:13" x14ac:dyDescent="0.35">
      <c r="B2034" s="32"/>
      <c r="C2034" s="35"/>
      <c r="D2034" s="35"/>
      <c r="E2034" s="35"/>
      <c r="F2034" s="35"/>
      <c r="G2034" s="35"/>
      <c r="H2034" s="35"/>
      <c r="I2034" s="35"/>
      <c r="J2034" s="35"/>
      <c r="K2034" s="35"/>
      <c r="L2034" s="35"/>
      <c r="M2034" s="35"/>
    </row>
    <row r="2035" spans="2:13" x14ac:dyDescent="0.35">
      <c r="B2035" s="32"/>
      <c r="C2035" s="35"/>
      <c r="D2035" s="35"/>
      <c r="E2035" s="35"/>
      <c r="F2035" s="35"/>
      <c r="G2035" s="35"/>
      <c r="H2035" s="35"/>
      <c r="I2035" s="35"/>
      <c r="J2035" s="35"/>
      <c r="K2035" s="35"/>
      <c r="L2035" s="35"/>
      <c r="M2035" s="35"/>
    </row>
    <row r="2036" spans="2:13" x14ac:dyDescent="0.35">
      <c r="B2036" s="32"/>
      <c r="C2036" s="35"/>
      <c r="D2036" s="35"/>
      <c r="E2036" s="35"/>
      <c r="F2036" s="35"/>
      <c r="G2036" s="35"/>
      <c r="H2036" s="35"/>
      <c r="I2036" s="35"/>
      <c r="J2036" s="35"/>
      <c r="K2036" s="35"/>
      <c r="L2036" s="35"/>
      <c r="M2036" s="35"/>
    </row>
    <row r="2037" spans="2:13" x14ac:dyDescent="0.35">
      <c r="B2037" s="32"/>
      <c r="C2037" s="35"/>
      <c r="D2037" s="35"/>
      <c r="E2037" s="35"/>
      <c r="F2037" s="35"/>
      <c r="G2037" s="35"/>
      <c r="H2037" s="35"/>
      <c r="I2037" s="35"/>
      <c r="J2037" s="35"/>
      <c r="K2037" s="35"/>
      <c r="L2037" s="35"/>
      <c r="M2037" s="35"/>
    </row>
    <row r="2038" spans="2:13" x14ac:dyDescent="0.35">
      <c r="B2038" s="32"/>
      <c r="C2038" s="35"/>
      <c r="D2038" s="35"/>
      <c r="E2038" s="35"/>
      <c r="F2038" s="35"/>
      <c r="G2038" s="35"/>
      <c r="H2038" s="35"/>
      <c r="I2038" s="35"/>
      <c r="J2038" s="35"/>
      <c r="K2038" s="35"/>
      <c r="L2038" s="35"/>
      <c r="M2038" s="35"/>
    </row>
    <row r="2039" spans="2:13" x14ac:dyDescent="0.35">
      <c r="B2039" s="32"/>
      <c r="C2039" s="35"/>
      <c r="D2039" s="35"/>
      <c r="E2039" s="35"/>
      <c r="F2039" s="35"/>
      <c r="G2039" s="35"/>
      <c r="H2039" s="35"/>
      <c r="I2039" s="35"/>
      <c r="J2039" s="35"/>
      <c r="K2039" s="35"/>
      <c r="L2039" s="35"/>
      <c r="M2039" s="35"/>
    </row>
    <row r="2040" spans="2:13" x14ac:dyDescent="0.35">
      <c r="B2040" s="32"/>
      <c r="C2040" s="35"/>
      <c r="D2040" s="35"/>
      <c r="E2040" s="35"/>
      <c r="F2040" s="35"/>
      <c r="G2040" s="35"/>
      <c r="H2040" s="35"/>
      <c r="I2040" s="35"/>
      <c r="J2040" s="35"/>
      <c r="K2040" s="35"/>
      <c r="L2040" s="35"/>
      <c r="M2040" s="35"/>
    </row>
    <row r="2041" spans="2:13" x14ac:dyDescent="0.35">
      <c r="B2041" s="32"/>
      <c r="C2041" s="35"/>
      <c r="D2041" s="35"/>
      <c r="E2041" s="35"/>
      <c r="F2041" s="35"/>
      <c r="G2041" s="35"/>
      <c r="H2041" s="35"/>
      <c r="I2041" s="35"/>
      <c r="J2041" s="35"/>
      <c r="K2041" s="35"/>
      <c r="L2041" s="35"/>
      <c r="M2041" s="35"/>
    </row>
    <row r="2042" spans="2:13" x14ac:dyDescent="0.35">
      <c r="B2042" s="32"/>
      <c r="C2042" s="35"/>
      <c r="D2042" s="35"/>
      <c r="E2042" s="35"/>
      <c r="F2042" s="35"/>
      <c r="G2042" s="35"/>
      <c r="H2042" s="35"/>
      <c r="I2042" s="35"/>
      <c r="J2042" s="35"/>
      <c r="K2042" s="35"/>
      <c r="L2042" s="35"/>
      <c r="M2042" s="35"/>
    </row>
    <row r="2043" spans="2:13" x14ac:dyDescent="0.35">
      <c r="B2043" s="32"/>
      <c r="C2043" s="35"/>
      <c r="D2043" s="35"/>
      <c r="E2043" s="35"/>
      <c r="F2043" s="35"/>
      <c r="G2043" s="35"/>
      <c r="H2043" s="35"/>
      <c r="I2043" s="35"/>
      <c r="J2043" s="35"/>
      <c r="K2043" s="35"/>
      <c r="L2043" s="35"/>
      <c r="M2043" s="35"/>
    </row>
    <row r="2044" spans="2:13" x14ac:dyDescent="0.35">
      <c r="B2044" s="32"/>
      <c r="C2044" s="35"/>
      <c r="D2044" s="35"/>
      <c r="E2044" s="35"/>
      <c r="F2044" s="35"/>
      <c r="G2044" s="35"/>
      <c r="H2044" s="35"/>
      <c r="I2044" s="35"/>
      <c r="J2044" s="35"/>
      <c r="K2044" s="35"/>
      <c r="L2044" s="35"/>
      <c r="M2044" s="35"/>
    </row>
    <row r="2045" spans="2:13" x14ac:dyDescent="0.35">
      <c r="B2045" s="32"/>
      <c r="C2045" s="35"/>
      <c r="D2045" s="35"/>
      <c r="E2045" s="35"/>
      <c r="F2045" s="35"/>
      <c r="G2045" s="35"/>
      <c r="H2045" s="35"/>
      <c r="I2045" s="35"/>
      <c r="J2045" s="35"/>
      <c r="K2045" s="35"/>
      <c r="L2045" s="35"/>
      <c r="M2045" s="35"/>
    </row>
    <row r="2046" spans="2:13" x14ac:dyDescent="0.35">
      <c r="B2046" s="32"/>
      <c r="C2046" s="35"/>
      <c r="D2046" s="35"/>
      <c r="E2046" s="35"/>
      <c r="F2046" s="35"/>
      <c r="G2046" s="35"/>
      <c r="H2046" s="35"/>
      <c r="I2046" s="35"/>
      <c r="J2046" s="35"/>
      <c r="K2046" s="35"/>
      <c r="L2046" s="35"/>
      <c r="M2046" s="35"/>
    </row>
    <row r="2047" spans="2:13" x14ac:dyDescent="0.35">
      <c r="B2047" s="32"/>
      <c r="C2047" s="35"/>
      <c r="D2047" s="35"/>
      <c r="E2047" s="35"/>
      <c r="F2047" s="35"/>
      <c r="G2047" s="35"/>
      <c r="H2047" s="35"/>
      <c r="I2047" s="35"/>
      <c r="J2047" s="35"/>
      <c r="K2047" s="35"/>
      <c r="L2047" s="35"/>
      <c r="M2047" s="35"/>
    </row>
    <row r="2048" spans="2:13" x14ac:dyDescent="0.35">
      <c r="B2048" s="32"/>
      <c r="C2048" s="35"/>
      <c r="D2048" s="35"/>
      <c r="E2048" s="35"/>
      <c r="F2048" s="35"/>
      <c r="G2048" s="35"/>
      <c r="H2048" s="35"/>
      <c r="I2048" s="35"/>
      <c r="J2048" s="35"/>
      <c r="K2048" s="35"/>
      <c r="L2048" s="35"/>
      <c r="M2048" s="35"/>
    </row>
    <row r="2049" spans="2:13" x14ac:dyDescent="0.35">
      <c r="B2049" s="32"/>
      <c r="C2049" s="35"/>
      <c r="D2049" s="35"/>
      <c r="E2049" s="35"/>
      <c r="F2049" s="35"/>
      <c r="G2049" s="35"/>
      <c r="H2049" s="35"/>
      <c r="I2049" s="35"/>
      <c r="J2049" s="35"/>
      <c r="K2049" s="35"/>
      <c r="L2049" s="35"/>
      <c r="M2049" s="35"/>
    </row>
    <row r="2050" spans="2:13" x14ac:dyDescent="0.35">
      <c r="B2050" s="32"/>
      <c r="C2050" s="35"/>
      <c r="D2050" s="35"/>
      <c r="E2050" s="35"/>
      <c r="F2050" s="35"/>
      <c r="G2050" s="35"/>
      <c r="H2050" s="35"/>
      <c r="I2050" s="35"/>
      <c r="J2050" s="35"/>
      <c r="K2050" s="35"/>
      <c r="L2050" s="35"/>
      <c r="M2050" s="35"/>
    </row>
    <row r="2051" spans="2:13" x14ac:dyDescent="0.35">
      <c r="B2051" s="32"/>
      <c r="C2051" s="35"/>
      <c r="D2051" s="35"/>
      <c r="E2051" s="35"/>
      <c r="F2051" s="35"/>
      <c r="G2051" s="35"/>
      <c r="H2051" s="35"/>
      <c r="I2051" s="35"/>
      <c r="J2051" s="35"/>
      <c r="K2051" s="35"/>
      <c r="L2051" s="35"/>
      <c r="M2051" s="35"/>
    </row>
    <row r="2052" spans="2:13" x14ac:dyDescent="0.35">
      <c r="B2052" s="32"/>
      <c r="C2052" s="35"/>
      <c r="D2052" s="35"/>
      <c r="E2052" s="35"/>
      <c r="F2052" s="35"/>
      <c r="G2052" s="35"/>
      <c r="H2052" s="35"/>
      <c r="I2052" s="35"/>
      <c r="J2052" s="35"/>
      <c r="K2052" s="35"/>
      <c r="L2052" s="35"/>
      <c r="M2052" s="35"/>
    </row>
    <row r="2053" spans="2:13" x14ac:dyDescent="0.35">
      <c r="B2053" s="32"/>
      <c r="C2053" s="35"/>
      <c r="D2053" s="35"/>
      <c r="E2053" s="35"/>
      <c r="F2053" s="35"/>
      <c r="G2053" s="35"/>
      <c r="H2053" s="35"/>
      <c r="I2053" s="35"/>
      <c r="J2053" s="35"/>
      <c r="K2053" s="35"/>
      <c r="L2053" s="35"/>
      <c r="M2053" s="35"/>
    </row>
    <row r="2054" spans="2:13" x14ac:dyDescent="0.35">
      <c r="B2054" s="32"/>
      <c r="C2054" s="35"/>
      <c r="D2054" s="35"/>
      <c r="E2054" s="35"/>
      <c r="F2054" s="35"/>
      <c r="G2054" s="35"/>
      <c r="H2054" s="35"/>
      <c r="I2054" s="35"/>
      <c r="J2054" s="35"/>
      <c r="K2054" s="35"/>
      <c r="L2054" s="35"/>
      <c r="M2054" s="35"/>
    </row>
    <row r="2055" spans="2:13" x14ac:dyDescent="0.35">
      <c r="B2055" s="32"/>
      <c r="C2055" s="35"/>
      <c r="D2055" s="35"/>
      <c r="E2055" s="35"/>
      <c r="F2055" s="35"/>
      <c r="G2055" s="35"/>
      <c r="H2055" s="35"/>
      <c r="I2055" s="35"/>
      <c r="J2055" s="35"/>
      <c r="K2055" s="35"/>
      <c r="L2055" s="35"/>
      <c r="M2055" s="35"/>
    </row>
    <row r="2056" spans="2:13" x14ac:dyDescent="0.35">
      <c r="B2056" s="32"/>
      <c r="C2056" s="35"/>
      <c r="D2056" s="35"/>
      <c r="E2056" s="35"/>
      <c r="F2056" s="35"/>
      <c r="G2056" s="35"/>
      <c r="H2056" s="35"/>
      <c r="I2056" s="35"/>
      <c r="J2056" s="35"/>
      <c r="K2056" s="35"/>
      <c r="L2056" s="35"/>
      <c r="M2056" s="35"/>
    </row>
    <row r="2057" spans="2:13" x14ac:dyDescent="0.35">
      <c r="B2057" s="32"/>
      <c r="C2057" s="35"/>
      <c r="D2057" s="35"/>
      <c r="E2057" s="35"/>
      <c r="F2057" s="35"/>
      <c r="G2057" s="35"/>
      <c r="H2057" s="35"/>
      <c r="I2057" s="35"/>
      <c r="J2057" s="35"/>
      <c r="K2057" s="35"/>
      <c r="L2057" s="35"/>
      <c r="M2057" s="35"/>
    </row>
    <row r="2058" spans="2:13" x14ac:dyDescent="0.35">
      <c r="B2058" s="32"/>
      <c r="C2058" s="35"/>
      <c r="D2058" s="35"/>
      <c r="E2058" s="35"/>
      <c r="F2058" s="35"/>
      <c r="G2058" s="35"/>
      <c r="H2058" s="35"/>
      <c r="I2058" s="35"/>
      <c r="J2058" s="35"/>
      <c r="K2058" s="35"/>
      <c r="L2058" s="35"/>
      <c r="M2058" s="35"/>
    </row>
    <row r="2059" spans="2:13" x14ac:dyDescent="0.35">
      <c r="B2059" s="32"/>
      <c r="C2059" s="35"/>
      <c r="D2059" s="35"/>
      <c r="E2059" s="35"/>
      <c r="F2059" s="35"/>
      <c r="G2059" s="35"/>
      <c r="H2059" s="35"/>
      <c r="I2059" s="35"/>
      <c r="J2059" s="35"/>
      <c r="K2059" s="35"/>
      <c r="L2059" s="35"/>
      <c r="M2059" s="35"/>
    </row>
    <row r="2060" spans="2:13" x14ac:dyDescent="0.35">
      <c r="B2060" s="32"/>
      <c r="C2060" s="35"/>
      <c r="D2060" s="35"/>
      <c r="E2060" s="35"/>
      <c r="F2060" s="35"/>
      <c r="G2060" s="35"/>
      <c r="H2060" s="35"/>
      <c r="I2060" s="35"/>
      <c r="J2060" s="35"/>
      <c r="K2060" s="35"/>
      <c r="L2060" s="35"/>
      <c r="M2060" s="35"/>
    </row>
    <row r="2061" spans="2:13" x14ac:dyDescent="0.35">
      <c r="B2061" s="32"/>
      <c r="C2061" s="35"/>
      <c r="D2061" s="35"/>
      <c r="E2061" s="35"/>
      <c r="F2061" s="35"/>
      <c r="G2061" s="35"/>
      <c r="H2061" s="35"/>
      <c r="I2061" s="35"/>
      <c r="J2061" s="35"/>
      <c r="K2061" s="35"/>
      <c r="L2061" s="35"/>
      <c r="M2061" s="35"/>
    </row>
    <row r="2062" spans="2:13" x14ac:dyDescent="0.35">
      <c r="B2062" s="32"/>
      <c r="C2062" s="35"/>
      <c r="D2062" s="35"/>
      <c r="E2062" s="35"/>
      <c r="F2062" s="35"/>
      <c r="G2062" s="35"/>
      <c r="H2062" s="35"/>
      <c r="I2062" s="35"/>
      <c r="J2062" s="35"/>
      <c r="K2062" s="35"/>
      <c r="L2062" s="35"/>
      <c r="M2062" s="35"/>
    </row>
    <row r="2063" spans="2:13" x14ac:dyDescent="0.35">
      <c r="B2063" s="32"/>
      <c r="C2063" s="35"/>
      <c r="D2063" s="35"/>
      <c r="E2063" s="35"/>
      <c r="F2063" s="35"/>
      <c r="G2063" s="35"/>
      <c r="H2063" s="35"/>
      <c r="I2063" s="35"/>
      <c r="J2063" s="35"/>
      <c r="K2063" s="35"/>
      <c r="L2063" s="35"/>
      <c r="M2063" s="35"/>
    </row>
    <row r="2064" spans="2:13" x14ac:dyDescent="0.35">
      <c r="B2064" s="32"/>
      <c r="C2064" s="35"/>
      <c r="D2064" s="35"/>
      <c r="E2064" s="35"/>
      <c r="F2064" s="35"/>
      <c r="G2064" s="35"/>
      <c r="H2064" s="35"/>
      <c r="I2064" s="35"/>
      <c r="J2064" s="35"/>
      <c r="K2064" s="35"/>
      <c r="L2064" s="35"/>
      <c r="M2064" s="35"/>
    </row>
    <row r="2065" spans="2:13" x14ac:dyDescent="0.35">
      <c r="B2065" s="32"/>
      <c r="C2065" s="35"/>
      <c r="D2065" s="35"/>
      <c r="E2065" s="35"/>
      <c r="F2065" s="35"/>
      <c r="G2065" s="35"/>
      <c r="H2065" s="35"/>
      <c r="I2065" s="35"/>
      <c r="J2065" s="35"/>
      <c r="K2065" s="35"/>
      <c r="L2065" s="35"/>
      <c r="M2065" s="35"/>
    </row>
    <row r="2066" spans="2:13" x14ac:dyDescent="0.35">
      <c r="B2066" s="32"/>
      <c r="C2066" s="35"/>
      <c r="D2066" s="35"/>
      <c r="E2066" s="35"/>
      <c r="F2066" s="35"/>
      <c r="G2066" s="35"/>
      <c r="H2066" s="35"/>
      <c r="I2066" s="35"/>
      <c r="J2066" s="35"/>
      <c r="K2066" s="35"/>
      <c r="L2066" s="35"/>
      <c r="M2066" s="35"/>
    </row>
    <row r="2067" spans="2:13" x14ac:dyDescent="0.35">
      <c r="B2067" s="32"/>
      <c r="C2067" s="35"/>
      <c r="D2067" s="35"/>
      <c r="E2067" s="35"/>
      <c r="F2067" s="35"/>
      <c r="G2067" s="35"/>
      <c r="H2067" s="35"/>
      <c r="I2067" s="35"/>
      <c r="J2067" s="35"/>
      <c r="K2067" s="35"/>
      <c r="L2067" s="35"/>
      <c r="M2067" s="35"/>
    </row>
    <row r="2068" spans="2:13" x14ac:dyDescent="0.35">
      <c r="B2068" s="32"/>
      <c r="C2068" s="35"/>
      <c r="D2068" s="35"/>
      <c r="E2068" s="35"/>
      <c r="F2068" s="35"/>
      <c r="G2068" s="35"/>
      <c r="H2068" s="35"/>
      <c r="I2068" s="35"/>
      <c r="J2068" s="35"/>
      <c r="K2068" s="35"/>
      <c r="L2068" s="35"/>
      <c r="M2068" s="35"/>
    </row>
    <row r="2069" spans="2:13" x14ac:dyDescent="0.35">
      <c r="B2069" s="32"/>
      <c r="C2069" s="35"/>
      <c r="D2069" s="35"/>
      <c r="E2069" s="35"/>
      <c r="F2069" s="35"/>
      <c r="G2069" s="35"/>
      <c r="H2069" s="35"/>
      <c r="I2069" s="35"/>
      <c r="J2069" s="35"/>
      <c r="K2069" s="35"/>
      <c r="L2069" s="35"/>
      <c r="M2069" s="35"/>
    </row>
    <row r="2070" spans="2:13" x14ac:dyDescent="0.35">
      <c r="B2070" s="32"/>
      <c r="C2070" s="35"/>
      <c r="D2070" s="35"/>
      <c r="E2070" s="35"/>
      <c r="F2070" s="35"/>
      <c r="G2070" s="35"/>
      <c r="H2070" s="35"/>
      <c r="I2070" s="35"/>
      <c r="J2070" s="35"/>
      <c r="K2070" s="35"/>
      <c r="L2070" s="35"/>
      <c r="M2070" s="35"/>
    </row>
    <row r="2071" spans="2:13" x14ac:dyDescent="0.35">
      <c r="B2071" s="32"/>
      <c r="C2071" s="35"/>
      <c r="D2071" s="35"/>
      <c r="E2071" s="35"/>
      <c r="F2071" s="35"/>
      <c r="G2071" s="35"/>
      <c r="H2071" s="35"/>
      <c r="I2071" s="35"/>
      <c r="J2071" s="35"/>
      <c r="K2071" s="35"/>
      <c r="L2071" s="35"/>
      <c r="M2071" s="35"/>
    </row>
    <row r="2072" spans="2:13" x14ac:dyDescent="0.35">
      <c r="B2072" s="32"/>
      <c r="C2072" s="35"/>
      <c r="D2072" s="35"/>
      <c r="E2072" s="35"/>
      <c r="F2072" s="35"/>
      <c r="G2072" s="35"/>
      <c r="H2072" s="35"/>
      <c r="I2072" s="35"/>
      <c r="J2072" s="35"/>
      <c r="K2072" s="35"/>
      <c r="L2072" s="35"/>
      <c r="M2072" s="35"/>
    </row>
    <row r="2073" spans="2:13" x14ac:dyDescent="0.35">
      <c r="B2073" s="32"/>
      <c r="C2073" s="35"/>
      <c r="D2073" s="35"/>
      <c r="E2073" s="35"/>
      <c r="F2073" s="35"/>
      <c r="G2073" s="35"/>
      <c r="H2073" s="35"/>
      <c r="I2073" s="35"/>
      <c r="J2073" s="35"/>
      <c r="K2073" s="35"/>
      <c r="L2073" s="35"/>
      <c r="M2073" s="35"/>
    </row>
    <row r="2074" spans="2:13" x14ac:dyDescent="0.35">
      <c r="B2074" s="32"/>
      <c r="C2074" s="35"/>
      <c r="D2074" s="35"/>
      <c r="E2074" s="35"/>
      <c r="F2074" s="35"/>
      <c r="G2074" s="35"/>
      <c r="H2074" s="35"/>
      <c r="I2074" s="35"/>
      <c r="J2074" s="35"/>
      <c r="K2074" s="35"/>
      <c r="L2074" s="35"/>
      <c r="M2074" s="35"/>
    </row>
    <row r="2075" spans="2:13" x14ac:dyDescent="0.35">
      <c r="B2075" s="32"/>
      <c r="C2075" s="35"/>
      <c r="D2075" s="35"/>
      <c r="E2075" s="35"/>
      <c r="F2075" s="35"/>
      <c r="G2075" s="35"/>
      <c r="H2075" s="35"/>
      <c r="I2075" s="35"/>
      <c r="J2075" s="35"/>
      <c r="K2075" s="35"/>
      <c r="L2075" s="35"/>
      <c r="M2075" s="35"/>
    </row>
    <row r="2076" spans="2:13" x14ac:dyDescent="0.35">
      <c r="B2076" s="32"/>
      <c r="C2076" s="35"/>
      <c r="D2076" s="35"/>
      <c r="E2076" s="35"/>
      <c r="F2076" s="35"/>
      <c r="G2076" s="35"/>
      <c r="H2076" s="35"/>
      <c r="I2076" s="35"/>
      <c r="J2076" s="35"/>
      <c r="K2076" s="35"/>
      <c r="L2076" s="35"/>
      <c r="M2076" s="35"/>
    </row>
    <row r="2077" spans="2:13" x14ac:dyDescent="0.35">
      <c r="B2077" s="32"/>
      <c r="C2077" s="35"/>
      <c r="D2077" s="35"/>
      <c r="E2077" s="35"/>
      <c r="F2077" s="35"/>
      <c r="G2077" s="35"/>
      <c r="H2077" s="35"/>
      <c r="I2077" s="35"/>
      <c r="J2077" s="35"/>
      <c r="K2077" s="35"/>
      <c r="L2077" s="35"/>
      <c r="M2077" s="35"/>
    </row>
    <row r="2078" spans="2:13" x14ac:dyDescent="0.35">
      <c r="B2078" s="32"/>
      <c r="C2078" s="35"/>
      <c r="D2078" s="35"/>
      <c r="E2078" s="35"/>
      <c r="F2078" s="35"/>
      <c r="G2078" s="35"/>
      <c r="H2078" s="35"/>
      <c r="I2078" s="35"/>
      <c r="J2078" s="35"/>
      <c r="K2078" s="35"/>
      <c r="L2078" s="35"/>
      <c r="M2078" s="35"/>
    </row>
    <row r="2079" spans="2:13" x14ac:dyDescent="0.35">
      <c r="B2079" s="32"/>
      <c r="C2079" s="35"/>
      <c r="D2079" s="35"/>
      <c r="E2079" s="35"/>
      <c r="F2079" s="35"/>
      <c r="G2079" s="35"/>
      <c r="H2079" s="35"/>
      <c r="I2079" s="35"/>
      <c r="J2079" s="35"/>
      <c r="K2079" s="35"/>
      <c r="L2079" s="35"/>
      <c r="M2079" s="35"/>
    </row>
    <row r="2080" spans="2:13" x14ac:dyDescent="0.35">
      <c r="B2080" s="32"/>
      <c r="C2080" s="35"/>
      <c r="D2080" s="35"/>
      <c r="E2080" s="35"/>
      <c r="F2080" s="35"/>
      <c r="G2080" s="35"/>
      <c r="H2080" s="35"/>
      <c r="I2080" s="35"/>
      <c r="J2080" s="35"/>
      <c r="K2080" s="35"/>
      <c r="L2080" s="35"/>
      <c r="M2080" s="35"/>
    </row>
    <row r="2081" spans="2:13" x14ac:dyDescent="0.35">
      <c r="B2081" s="32"/>
      <c r="C2081" s="35"/>
      <c r="D2081" s="35"/>
      <c r="E2081" s="35"/>
      <c r="F2081" s="35"/>
      <c r="G2081" s="35"/>
      <c r="H2081" s="35"/>
      <c r="I2081" s="35"/>
      <c r="J2081" s="35"/>
      <c r="K2081" s="35"/>
      <c r="L2081" s="35"/>
      <c r="M2081" s="35"/>
    </row>
    <row r="2082" spans="2:13" x14ac:dyDescent="0.35">
      <c r="B2082" s="32"/>
      <c r="C2082" s="35"/>
      <c r="D2082" s="35"/>
      <c r="E2082" s="35"/>
      <c r="F2082" s="35"/>
      <c r="G2082" s="35"/>
      <c r="H2082" s="35"/>
      <c r="I2082" s="35"/>
      <c r="J2082" s="35"/>
      <c r="K2082" s="35"/>
      <c r="L2082" s="35"/>
      <c r="M2082" s="35"/>
    </row>
    <row r="2083" spans="2:13" x14ac:dyDescent="0.35">
      <c r="B2083" s="32"/>
      <c r="C2083" s="35"/>
      <c r="D2083" s="35"/>
      <c r="E2083" s="35"/>
      <c r="F2083" s="35"/>
      <c r="G2083" s="35"/>
      <c r="H2083" s="35"/>
      <c r="I2083" s="35"/>
      <c r="J2083" s="35"/>
      <c r="K2083" s="35"/>
      <c r="L2083" s="35"/>
      <c r="M2083" s="35"/>
    </row>
    <row r="2084" spans="2:13" x14ac:dyDescent="0.35">
      <c r="B2084" s="32"/>
      <c r="C2084" s="35"/>
      <c r="D2084" s="35"/>
      <c r="E2084" s="35"/>
      <c r="F2084" s="35"/>
      <c r="G2084" s="35"/>
      <c r="H2084" s="35"/>
      <c r="I2084" s="35"/>
      <c r="J2084" s="35"/>
      <c r="K2084" s="35"/>
      <c r="L2084" s="35"/>
      <c r="M2084" s="35"/>
    </row>
    <row r="2085" spans="2:13" x14ac:dyDescent="0.35">
      <c r="B2085" s="32"/>
      <c r="C2085" s="35"/>
      <c r="D2085" s="35"/>
      <c r="E2085" s="35"/>
      <c r="F2085" s="35"/>
      <c r="G2085" s="35"/>
      <c r="H2085" s="35"/>
      <c r="I2085" s="35"/>
      <c r="J2085" s="35"/>
      <c r="K2085" s="35"/>
      <c r="L2085" s="35"/>
      <c r="M2085" s="35"/>
    </row>
    <row r="2086" spans="2:13" x14ac:dyDescent="0.35">
      <c r="B2086" s="32"/>
      <c r="C2086" s="35"/>
      <c r="D2086" s="35"/>
      <c r="E2086" s="35"/>
      <c r="F2086" s="35"/>
      <c r="G2086" s="35"/>
      <c r="H2086" s="35"/>
      <c r="I2086" s="35"/>
      <c r="J2086" s="35"/>
      <c r="K2086" s="35"/>
      <c r="L2086" s="35"/>
      <c r="M2086" s="35"/>
    </row>
    <row r="2087" spans="2:13" x14ac:dyDescent="0.35">
      <c r="B2087" s="32"/>
      <c r="C2087" s="35"/>
      <c r="D2087" s="35"/>
      <c r="E2087" s="35"/>
      <c r="F2087" s="35"/>
      <c r="G2087" s="35"/>
      <c r="H2087" s="35"/>
      <c r="I2087" s="35"/>
      <c r="J2087" s="35"/>
      <c r="K2087" s="35"/>
      <c r="L2087" s="35"/>
      <c r="M2087" s="35"/>
    </row>
    <row r="2088" spans="2:13" x14ac:dyDescent="0.35">
      <c r="B2088" s="32"/>
      <c r="C2088" s="35"/>
      <c r="D2088" s="35"/>
      <c r="E2088" s="35"/>
      <c r="F2088" s="35"/>
      <c r="G2088" s="35"/>
      <c r="H2088" s="35"/>
      <c r="I2088" s="35"/>
      <c r="J2088" s="35"/>
      <c r="K2088" s="35"/>
      <c r="L2088" s="35"/>
      <c r="M2088" s="35"/>
    </row>
    <row r="2089" spans="2:13" x14ac:dyDescent="0.35">
      <c r="B2089" s="32"/>
      <c r="C2089" s="35"/>
      <c r="D2089" s="35"/>
      <c r="E2089" s="35"/>
      <c r="F2089" s="35"/>
      <c r="G2089" s="35"/>
      <c r="H2089" s="35"/>
      <c r="I2089" s="35"/>
      <c r="J2089" s="35"/>
      <c r="K2089" s="35"/>
      <c r="L2089" s="35"/>
      <c r="M2089" s="35"/>
    </row>
    <row r="2090" spans="2:13" x14ac:dyDescent="0.35">
      <c r="B2090" s="32"/>
      <c r="C2090" s="35"/>
      <c r="D2090" s="35"/>
      <c r="E2090" s="35"/>
      <c r="F2090" s="35"/>
      <c r="G2090" s="35"/>
      <c r="H2090" s="35"/>
      <c r="I2090" s="35"/>
      <c r="J2090" s="35"/>
      <c r="K2090" s="35"/>
      <c r="L2090" s="35"/>
      <c r="M2090" s="35"/>
    </row>
    <row r="2091" spans="2:13" x14ac:dyDescent="0.35">
      <c r="B2091" s="32"/>
      <c r="C2091" s="35"/>
      <c r="D2091" s="35"/>
      <c r="E2091" s="35"/>
      <c r="F2091" s="35"/>
      <c r="G2091" s="35"/>
      <c r="H2091" s="35"/>
      <c r="I2091" s="35"/>
      <c r="J2091" s="35"/>
      <c r="K2091" s="35"/>
      <c r="L2091" s="35"/>
      <c r="M2091" s="35"/>
    </row>
    <row r="2092" spans="2:13" x14ac:dyDescent="0.35">
      <c r="B2092" s="32"/>
      <c r="C2092" s="35"/>
      <c r="D2092" s="35"/>
      <c r="E2092" s="35"/>
      <c r="F2092" s="35"/>
      <c r="G2092" s="35"/>
      <c r="H2092" s="35"/>
      <c r="I2092" s="35"/>
      <c r="J2092" s="35"/>
      <c r="K2092" s="35"/>
      <c r="L2092" s="35"/>
      <c r="M2092" s="35"/>
    </row>
    <row r="2093" spans="2:13" x14ac:dyDescent="0.35">
      <c r="B2093" s="32"/>
      <c r="C2093" s="35"/>
      <c r="D2093" s="35"/>
      <c r="E2093" s="35"/>
      <c r="F2093" s="35"/>
      <c r="G2093" s="35"/>
      <c r="H2093" s="35"/>
      <c r="I2093" s="35"/>
      <c r="J2093" s="35"/>
      <c r="K2093" s="35"/>
      <c r="L2093" s="35"/>
      <c r="M2093" s="35"/>
    </row>
    <row r="2094" spans="2:13" x14ac:dyDescent="0.35">
      <c r="B2094" s="32"/>
      <c r="C2094" s="35"/>
      <c r="D2094" s="35"/>
      <c r="E2094" s="35"/>
      <c r="F2094" s="35"/>
      <c r="G2094" s="35"/>
      <c r="H2094" s="35"/>
      <c r="I2094" s="35"/>
      <c r="J2094" s="35"/>
      <c r="K2094" s="35"/>
      <c r="L2094" s="35"/>
      <c r="M2094" s="35"/>
    </row>
    <row r="2095" spans="2:13" x14ac:dyDescent="0.35">
      <c r="B2095" s="32"/>
      <c r="C2095" s="35"/>
      <c r="D2095" s="35"/>
      <c r="E2095" s="35"/>
      <c r="F2095" s="35"/>
      <c r="G2095" s="35"/>
      <c r="H2095" s="35"/>
      <c r="I2095" s="35"/>
      <c r="J2095" s="35"/>
      <c r="K2095" s="35"/>
      <c r="L2095" s="35"/>
      <c r="M2095" s="35"/>
    </row>
    <row r="2096" spans="2:13" x14ac:dyDescent="0.35">
      <c r="B2096" s="32"/>
      <c r="C2096" s="35"/>
      <c r="D2096" s="35"/>
      <c r="E2096" s="35"/>
      <c r="F2096" s="35"/>
      <c r="G2096" s="35"/>
      <c r="H2096" s="35"/>
      <c r="I2096" s="35"/>
      <c r="J2096" s="35"/>
      <c r="K2096" s="35"/>
      <c r="L2096" s="35"/>
      <c r="M2096" s="35"/>
    </row>
    <row r="2097" spans="2:13" x14ac:dyDescent="0.35">
      <c r="B2097" s="32"/>
      <c r="C2097" s="35"/>
      <c r="D2097" s="35"/>
      <c r="E2097" s="35"/>
      <c r="F2097" s="35"/>
      <c r="G2097" s="35"/>
      <c r="H2097" s="35"/>
      <c r="I2097" s="35"/>
      <c r="J2097" s="35"/>
      <c r="K2097" s="35"/>
      <c r="L2097" s="35"/>
      <c r="M2097" s="35"/>
    </row>
    <row r="2098" spans="2:13" x14ac:dyDescent="0.35">
      <c r="B2098" s="32"/>
      <c r="C2098" s="35"/>
      <c r="D2098" s="35"/>
      <c r="E2098" s="35"/>
      <c r="F2098" s="35"/>
      <c r="G2098" s="35"/>
      <c r="H2098" s="35"/>
      <c r="I2098" s="35"/>
      <c r="J2098" s="35"/>
      <c r="K2098" s="35"/>
      <c r="L2098" s="35"/>
      <c r="M2098" s="35"/>
    </row>
    <row r="2099" spans="2:13" x14ac:dyDescent="0.35">
      <c r="B2099" s="32"/>
      <c r="C2099" s="35"/>
      <c r="D2099" s="35"/>
      <c r="E2099" s="35"/>
      <c r="F2099" s="35"/>
      <c r="G2099" s="35"/>
      <c r="H2099" s="35"/>
      <c r="I2099" s="35"/>
      <c r="J2099" s="35"/>
      <c r="K2099" s="35"/>
      <c r="L2099" s="35"/>
      <c r="M2099" s="35"/>
    </row>
    <row r="2100" spans="2:13" x14ac:dyDescent="0.35">
      <c r="B2100" s="32"/>
      <c r="C2100" s="35"/>
      <c r="D2100" s="35"/>
      <c r="E2100" s="35"/>
      <c r="F2100" s="35"/>
      <c r="G2100" s="35"/>
      <c r="H2100" s="35"/>
      <c r="I2100" s="35"/>
      <c r="J2100" s="35"/>
      <c r="K2100" s="35"/>
      <c r="L2100" s="35"/>
      <c r="M2100" s="35"/>
    </row>
    <row r="2101" spans="2:13" x14ac:dyDescent="0.35">
      <c r="B2101" s="32"/>
      <c r="C2101" s="35"/>
      <c r="D2101" s="35"/>
      <c r="E2101" s="35"/>
      <c r="F2101" s="35"/>
      <c r="G2101" s="35"/>
      <c r="H2101" s="35"/>
      <c r="I2101" s="35"/>
      <c r="J2101" s="35"/>
      <c r="K2101" s="35"/>
      <c r="L2101" s="35"/>
      <c r="M2101" s="35"/>
    </row>
    <row r="2102" spans="2:13" x14ac:dyDescent="0.35">
      <c r="B2102" s="32"/>
      <c r="C2102" s="35"/>
      <c r="D2102" s="35"/>
      <c r="E2102" s="35"/>
      <c r="F2102" s="35"/>
      <c r="G2102" s="35"/>
      <c r="H2102" s="35"/>
      <c r="I2102" s="35"/>
      <c r="J2102" s="35"/>
      <c r="K2102" s="35"/>
      <c r="L2102" s="35"/>
      <c r="M2102" s="35"/>
    </row>
    <row r="2103" spans="2:13" x14ac:dyDescent="0.35">
      <c r="B2103" s="32"/>
      <c r="C2103" s="35"/>
      <c r="D2103" s="35"/>
      <c r="E2103" s="35"/>
      <c r="F2103" s="35"/>
      <c r="G2103" s="35"/>
      <c r="H2103" s="35"/>
      <c r="I2103" s="35"/>
      <c r="J2103" s="35"/>
      <c r="K2103" s="35"/>
      <c r="L2103" s="35"/>
      <c r="M2103" s="35"/>
    </row>
    <row r="2104" spans="2:13" x14ac:dyDescent="0.35">
      <c r="B2104" s="32"/>
      <c r="C2104" s="35"/>
      <c r="D2104" s="35"/>
      <c r="E2104" s="35"/>
      <c r="F2104" s="35"/>
      <c r="G2104" s="35"/>
      <c r="H2104" s="35"/>
      <c r="I2104" s="35"/>
      <c r="J2104" s="35"/>
      <c r="K2104" s="35"/>
      <c r="L2104" s="35"/>
      <c r="M2104" s="35"/>
    </row>
    <row r="2105" spans="2:13" x14ac:dyDescent="0.35">
      <c r="B2105" s="32"/>
      <c r="C2105" s="35"/>
      <c r="D2105" s="35"/>
      <c r="E2105" s="35"/>
      <c r="F2105" s="35"/>
      <c r="G2105" s="35"/>
      <c r="H2105" s="35"/>
      <c r="I2105" s="35"/>
      <c r="J2105" s="35"/>
      <c r="K2105" s="35"/>
      <c r="L2105" s="35"/>
      <c r="M2105" s="35"/>
    </row>
    <row r="2106" spans="2:13" x14ac:dyDescent="0.35">
      <c r="B2106" s="32"/>
      <c r="C2106" s="35"/>
      <c r="D2106" s="35"/>
      <c r="E2106" s="35"/>
      <c r="F2106" s="35"/>
      <c r="G2106" s="35"/>
      <c r="H2106" s="35"/>
      <c r="I2106" s="35"/>
      <c r="J2106" s="35"/>
      <c r="K2106" s="35"/>
      <c r="L2106" s="35"/>
      <c r="M2106" s="35"/>
    </row>
    <row r="2107" spans="2:13" x14ac:dyDescent="0.35">
      <c r="B2107" s="32"/>
      <c r="C2107" s="35"/>
      <c r="D2107" s="35"/>
      <c r="E2107" s="35"/>
      <c r="F2107" s="35"/>
      <c r="G2107" s="35"/>
      <c r="H2107" s="35"/>
      <c r="I2107" s="35"/>
      <c r="J2107" s="35"/>
      <c r="K2107" s="35"/>
      <c r="L2107" s="35"/>
      <c r="M2107" s="35"/>
    </row>
    <row r="2108" spans="2:13" x14ac:dyDescent="0.35">
      <c r="B2108" s="32"/>
      <c r="C2108" s="35"/>
      <c r="D2108" s="35"/>
      <c r="E2108" s="35"/>
      <c r="F2108" s="35"/>
      <c r="G2108" s="35"/>
      <c r="H2108" s="35"/>
      <c r="I2108" s="35"/>
      <c r="J2108" s="35"/>
      <c r="K2108" s="35"/>
      <c r="L2108" s="35"/>
      <c r="M2108" s="35"/>
    </row>
    <row r="2109" spans="2:13" x14ac:dyDescent="0.35">
      <c r="B2109" s="32"/>
      <c r="C2109" s="35"/>
      <c r="D2109" s="35"/>
      <c r="E2109" s="35"/>
      <c r="F2109" s="35"/>
      <c r="G2109" s="35"/>
      <c r="H2109" s="35"/>
      <c r="I2109" s="35"/>
      <c r="J2109" s="35"/>
      <c r="K2109" s="35"/>
      <c r="L2109" s="35"/>
      <c r="M2109" s="35"/>
    </row>
    <row r="2110" spans="2:13" x14ac:dyDescent="0.35">
      <c r="B2110" s="32"/>
      <c r="C2110" s="35"/>
      <c r="D2110" s="35"/>
      <c r="E2110" s="35"/>
      <c r="F2110" s="35"/>
      <c r="G2110" s="35"/>
      <c r="H2110" s="35"/>
      <c r="I2110" s="35"/>
      <c r="J2110" s="35"/>
      <c r="K2110" s="35"/>
      <c r="L2110" s="35"/>
      <c r="M2110" s="35"/>
    </row>
    <row r="2111" spans="2:13" x14ac:dyDescent="0.35">
      <c r="B2111" s="32"/>
      <c r="C2111" s="35"/>
      <c r="D2111" s="35"/>
      <c r="E2111" s="35"/>
      <c r="F2111" s="35"/>
      <c r="G2111" s="35"/>
      <c r="H2111" s="35"/>
      <c r="I2111" s="35"/>
      <c r="J2111" s="35"/>
      <c r="K2111" s="35"/>
      <c r="L2111" s="35"/>
      <c r="M2111" s="35"/>
    </row>
    <row r="2112" spans="2:13" x14ac:dyDescent="0.35">
      <c r="B2112" s="32"/>
      <c r="C2112" s="35"/>
      <c r="D2112" s="35"/>
      <c r="E2112" s="35"/>
      <c r="F2112" s="35"/>
      <c r="G2112" s="35"/>
      <c r="H2112" s="35"/>
      <c r="I2112" s="35"/>
      <c r="J2112" s="35"/>
      <c r="K2112" s="35"/>
      <c r="L2112" s="35"/>
      <c r="M2112" s="35"/>
    </row>
    <row r="2113" spans="2:13" x14ac:dyDescent="0.35">
      <c r="B2113" s="32"/>
      <c r="C2113" s="35"/>
      <c r="D2113" s="35"/>
      <c r="E2113" s="35"/>
      <c r="F2113" s="35"/>
      <c r="G2113" s="35"/>
      <c r="H2113" s="35"/>
      <c r="I2113" s="35"/>
      <c r="J2113" s="35"/>
      <c r="K2113" s="35"/>
      <c r="L2113" s="35"/>
      <c r="M2113" s="35"/>
    </row>
    <row r="2114" spans="2:13" x14ac:dyDescent="0.35">
      <c r="B2114" s="32"/>
      <c r="C2114" s="35"/>
      <c r="D2114" s="35"/>
      <c r="E2114" s="35"/>
      <c r="F2114" s="35"/>
      <c r="G2114" s="35"/>
      <c r="H2114" s="35"/>
      <c r="I2114" s="35"/>
      <c r="J2114" s="35"/>
      <c r="K2114" s="35"/>
      <c r="L2114" s="35"/>
      <c r="M2114" s="35"/>
    </row>
    <row r="2115" spans="2:13" x14ac:dyDescent="0.35">
      <c r="B2115" s="32"/>
      <c r="C2115" s="35"/>
      <c r="D2115" s="35"/>
      <c r="E2115" s="35"/>
      <c r="F2115" s="35"/>
      <c r="G2115" s="35"/>
      <c r="H2115" s="35"/>
      <c r="I2115" s="35"/>
      <c r="J2115" s="35"/>
      <c r="K2115" s="35"/>
      <c r="L2115" s="35"/>
      <c r="M2115" s="35"/>
    </row>
    <row r="2116" spans="2:13" x14ac:dyDescent="0.35">
      <c r="B2116" s="32"/>
      <c r="C2116" s="35"/>
      <c r="D2116" s="35"/>
      <c r="E2116" s="35"/>
      <c r="F2116" s="35"/>
      <c r="G2116" s="35"/>
      <c r="H2116" s="35"/>
      <c r="I2116" s="35"/>
      <c r="J2116" s="35"/>
      <c r="K2116" s="35"/>
      <c r="L2116" s="35"/>
      <c r="M2116" s="35"/>
    </row>
    <row r="2117" spans="2:13" x14ac:dyDescent="0.35">
      <c r="B2117" s="32"/>
      <c r="C2117" s="35"/>
      <c r="D2117" s="35"/>
      <c r="E2117" s="35"/>
      <c r="F2117" s="35"/>
      <c r="G2117" s="35"/>
      <c r="H2117" s="35"/>
      <c r="I2117" s="35"/>
      <c r="J2117" s="35"/>
      <c r="K2117" s="35"/>
      <c r="L2117" s="35"/>
      <c r="M2117" s="35"/>
    </row>
    <row r="2118" spans="2:13" x14ac:dyDescent="0.35">
      <c r="B2118" s="32"/>
      <c r="C2118" s="35"/>
      <c r="D2118" s="35"/>
      <c r="E2118" s="35"/>
      <c r="F2118" s="35"/>
      <c r="G2118" s="35"/>
      <c r="H2118" s="35"/>
      <c r="I2118" s="35"/>
      <c r="J2118" s="35"/>
      <c r="K2118" s="35"/>
      <c r="L2118" s="35"/>
      <c r="M2118" s="35"/>
    </row>
    <row r="2119" spans="2:13" x14ac:dyDescent="0.35">
      <c r="B2119" s="32"/>
      <c r="C2119" s="35"/>
      <c r="D2119" s="35"/>
      <c r="E2119" s="35"/>
      <c r="F2119" s="35"/>
      <c r="G2119" s="35"/>
      <c r="H2119" s="35"/>
      <c r="I2119" s="35"/>
      <c r="J2119" s="35"/>
      <c r="K2119" s="35"/>
      <c r="L2119" s="35"/>
      <c r="M2119" s="35"/>
    </row>
    <row r="2120" spans="2:13" x14ac:dyDescent="0.35">
      <c r="B2120" s="32"/>
      <c r="C2120" s="35"/>
      <c r="D2120" s="35"/>
      <c r="E2120" s="35"/>
      <c r="F2120" s="35"/>
      <c r="G2120" s="35"/>
      <c r="H2120" s="35"/>
      <c r="I2120" s="35"/>
      <c r="J2120" s="35"/>
      <c r="K2120" s="35"/>
      <c r="L2120" s="35"/>
      <c r="M2120" s="35"/>
    </row>
    <row r="2121" spans="2:13" x14ac:dyDescent="0.35">
      <c r="B2121" s="32"/>
      <c r="C2121" s="35"/>
      <c r="D2121" s="35"/>
      <c r="E2121" s="35"/>
      <c r="F2121" s="35"/>
      <c r="G2121" s="35"/>
      <c r="H2121" s="35"/>
      <c r="I2121" s="35"/>
      <c r="J2121" s="35"/>
      <c r="K2121" s="35"/>
      <c r="L2121" s="35"/>
      <c r="M2121" s="35"/>
    </row>
    <row r="2122" spans="2:13" x14ac:dyDescent="0.35">
      <c r="B2122" s="32"/>
      <c r="C2122" s="35"/>
      <c r="D2122" s="35"/>
      <c r="E2122" s="35"/>
      <c r="F2122" s="35"/>
      <c r="G2122" s="35"/>
      <c r="H2122" s="35"/>
      <c r="I2122" s="35"/>
      <c r="J2122" s="35"/>
      <c r="K2122" s="35"/>
      <c r="L2122" s="35"/>
      <c r="M2122" s="35"/>
    </row>
    <row r="2123" spans="2:13" x14ac:dyDescent="0.35">
      <c r="B2123" s="32"/>
      <c r="C2123" s="35"/>
      <c r="D2123" s="35"/>
      <c r="E2123" s="35"/>
      <c r="F2123" s="35"/>
      <c r="G2123" s="35"/>
      <c r="H2123" s="35"/>
      <c r="I2123" s="35"/>
      <c r="J2123" s="35"/>
      <c r="K2123" s="35"/>
      <c r="L2123" s="35"/>
      <c r="M2123" s="35"/>
    </row>
    <row r="2124" spans="2:13" x14ac:dyDescent="0.35">
      <c r="B2124" s="32"/>
      <c r="C2124" s="35"/>
      <c r="D2124" s="35"/>
      <c r="E2124" s="35"/>
      <c r="F2124" s="35"/>
      <c r="G2124" s="35"/>
      <c r="H2124" s="35"/>
      <c r="I2124" s="35"/>
      <c r="J2124" s="35"/>
      <c r="K2124" s="35"/>
      <c r="L2124" s="35"/>
      <c r="M2124" s="35"/>
    </row>
    <row r="2125" spans="2:13" x14ac:dyDescent="0.35">
      <c r="B2125" s="32"/>
      <c r="C2125" s="35"/>
      <c r="D2125" s="35"/>
      <c r="E2125" s="35"/>
      <c r="F2125" s="35"/>
      <c r="G2125" s="35"/>
      <c r="H2125" s="35"/>
      <c r="I2125" s="35"/>
      <c r="J2125" s="35"/>
      <c r="K2125" s="35"/>
      <c r="L2125" s="35"/>
      <c r="M2125" s="35"/>
    </row>
    <row r="2126" spans="2:13" x14ac:dyDescent="0.35">
      <c r="B2126" s="32"/>
      <c r="C2126" s="35"/>
      <c r="D2126" s="35"/>
      <c r="E2126" s="35"/>
      <c r="F2126" s="35"/>
      <c r="G2126" s="35"/>
      <c r="H2126" s="35"/>
      <c r="I2126" s="35"/>
      <c r="J2126" s="35"/>
      <c r="K2126" s="35"/>
      <c r="L2126" s="35"/>
      <c r="M2126" s="35"/>
    </row>
    <row r="2127" spans="2:13" x14ac:dyDescent="0.35">
      <c r="B2127" s="32"/>
      <c r="C2127" s="35"/>
      <c r="D2127" s="35"/>
      <c r="E2127" s="35"/>
      <c r="F2127" s="35"/>
      <c r="G2127" s="35"/>
      <c r="H2127" s="35"/>
      <c r="I2127" s="35"/>
      <c r="J2127" s="35"/>
      <c r="K2127" s="35"/>
      <c r="L2127" s="35"/>
      <c r="M2127" s="35"/>
    </row>
    <row r="2128" spans="2:13" x14ac:dyDescent="0.35">
      <c r="B2128" s="32"/>
      <c r="C2128" s="35"/>
      <c r="D2128" s="35"/>
      <c r="E2128" s="35"/>
      <c r="F2128" s="35"/>
      <c r="G2128" s="35"/>
      <c r="H2128" s="35"/>
      <c r="I2128" s="35"/>
      <c r="J2128" s="35"/>
      <c r="K2128" s="35"/>
      <c r="L2128" s="35"/>
      <c r="M2128" s="35"/>
    </row>
    <row r="2129" spans="2:13" x14ac:dyDescent="0.35">
      <c r="B2129" s="32"/>
      <c r="C2129" s="35"/>
      <c r="D2129" s="35"/>
      <c r="E2129" s="35"/>
      <c r="F2129" s="35"/>
      <c r="G2129" s="35"/>
      <c r="H2129" s="35"/>
      <c r="I2129" s="35"/>
      <c r="J2129" s="35"/>
      <c r="K2129" s="35"/>
      <c r="L2129" s="35"/>
      <c r="M2129" s="35"/>
    </row>
    <row r="2130" spans="2:13" x14ac:dyDescent="0.35">
      <c r="B2130" s="32"/>
      <c r="C2130" s="35"/>
      <c r="D2130" s="35"/>
      <c r="E2130" s="35"/>
      <c r="F2130" s="35"/>
      <c r="G2130" s="35"/>
      <c r="H2130" s="35"/>
      <c r="I2130" s="35"/>
      <c r="J2130" s="35"/>
      <c r="K2130" s="35"/>
      <c r="L2130" s="35"/>
      <c r="M2130" s="35"/>
    </row>
    <row r="2131" spans="2:13" x14ac:dyDescent="0.35">
      <c r="B2131" s="32"/>
      <c r="C2131" s="35"/>
      <c r="D2131" s="35"/>
      <c r="E2131" s="35"/>
      <c r="F2131" s="35"/>
      <c r="G2131" s="35"/>
      <c r="H2131" s="35"/>
      <c r="I2131" s="35"/>
      <c r="J2131" s="35"/>
      <c r="K2131" s="35"/>
      <c r="L2131" s="35"/>
      <c r="M2131" s="35"/>
    </row>
    <row r="2132" spans="2:13" x14ac:dyDescent="0.35">
      <c r="B2132" s="32"/>
      <c r="C2132" s="35"/>
      <c r="D2132" s="35"/>
      <c r="E2132" s="35"/>
      <c r="F2132" s="35"/>
      <c r="G2132" s="35"/>
      <c r="H2132" s="35"/>
      <c r="I2132" s="35"/>
      <c r="J2132" s="35"/>
      <c r="K2132" s="35"/>
      <c r="L2132" s="35"/>
      <c r="M2132" s="35"/>
    </row>
    <row r="2133" spans="2:13" x14ac:dyDescent="0.35">
      <c r="B2133" s="32"/>
      <c r="C2133" s="35"/>
      <c r="D2133" s="35"/>
      <c r="E2133" s="35"/>
      <c r="F2133" s="35"/>
      <c r="G2133" s="35"/>
      <c r="H2133" s="35"/>
      <c r="I2133" s="35"/>
      <c r="J2133" s="35"/>
      <c r="K2133" s="35"/>
      <c r="L2133" s="35"/>
      <c r="M2133" s="35"/>
    </row>
    <row r="2134" spans="2:13" x14ac:dyDescent="0.35">
      <c r="B2134" s="32"/>
      <c r="C2134" s="35"/>
      <c r="D2134" s="35"/>
      <c r="E2134" s="35"/>
      <c r="F2134" s="35"/>
      <c r="G2134" s="35"/>
      <c r="H2134" s="35"/>
      <c r="I2134" s="35"/>
      <c r="J2134" s="35"/>
      <c r="K2134" s="35"/>
      <c r="L2134" s="35"/>
      <c r="M2134" s="35"/>
    </row>
    <row r="2135" spans="2:13" x14ac:dyDescent="0.35">
      <c r="B2135" s="32"/>
      <c r="C2135" s="35"/>
      <c r="D2135" s="35"/>
      <c r="E2135" s="35"/>
      <c r="F2135" s="35"/>
      <c r="G2135" s="35"/>
      <c r="H2135" s="35"/>
      <c r="I2135" s="35"/>
      <c r="J2135" s="35"/>
      <c r="K2135" s="35"/>
      <c r="L2135" s="35"/>
      <c r="M2135" s="35"/>
    </row>
    <row r="2136" spans="2:13" x14ac:dyDescent="0.35">
      <c r="B2136" s="32"/>
      <c r="C2136" s="35"/>
      <c r="D2136" s="35"/>
      <c r="E2136" s="35"/>
      <c r="F2136" s="35"/>
      <c r="G2136" s="35"/>
      <c r="H2136" s="35"/>
      <c r="I2136" s="35"/>
      <c r="J2136" s="35"/>
      <c r="K2136" s="35"/>
      <c r="L2136" s="35"/>
      <c r="M2136" s="35"/>
    </row>
    <row r="2137" spans="2:13" x14ac:dyDescent="0.35">
      <c r="B2137" s="32"/>
      <c r="C2137" s="35"/>
      <c r="D2137" s="35"/>
      <c r="E2137" s="35"/>
      <c r="F2137" s="35"/>
      <c r="G2137" s="35"/>
      <c r="H2137" s="35"/>
      <c r="I2137" s="35"/>
      <c r="J2137" s="35"/>
      <c r="K2137" s="35"/>
      <c r="L2137" s="35"/>
      <c r="M2137" s="35"/>
    </row>
    <row r="2138" spans="2:13" x14ac:dyDescent="0.35">
      <c r="B2138" s="32"/>
      <c r="C2138" s="35"/>
      <c r="D2138" s="35"/>
      <c r="E2138" s="35"/>
      <c r="F2138" s="35"/>
      <c r="G2138" s="35"/>
      <c r="H2138" s="35"/>
      <c r="I2138" s="35"/>
      <c r="J2138" s="35"/>
      <c r="K2138" s="35"/>
      <c r="L2138" s="35"/>
      <c r="M2138" s="35"/>
    </row>
    <row r="2139" spans="2:13" x14ac:dyDescent="0.35">
      <c r="B2139" s="32"/>
      <c r="C2139" s="35"/>
      <c r="D2139" s="35"/>
      <c r="E2139" s="35"/>
      <c r="F2139" s="35"/>
      <c r="G2139" s="35"/>
      <c r="H2139" s="35"/>
      <c r="I2139" s="35"/>
      <c r="J2139" s="35"/>
      <c r="K2139" s="35"/>
      <c r="L2139" s="35"/>
      <c r="M2139" s="35"/>
    </row>
    <row r="2140" spans="2:13" x14ac:dyDescent="0.35">
      <c r="B2140" s="32"/>
      <c r="C2140" s="35"/>
      <c r="D2140" s="35"/>
      <c r="E2140" s="35"/>
      <c r="F2140" s="35"/>
      <c r="G2140" s="35"/>
      <c r="H2140" s="35"/>
      <c r="I2140" s="35"/>
      <c r="J2140" s="35"/>
      <c r="K2140" s="35"/>
      <c r="L2140" s="35"/>
      <c r="M2140" s="35"/>
    </row>
    <row r="2141" spans="2:13" x14ac:dyDescent="0.35">
      <c r="B2141" s="32"/>
      <c r="C2141" s="35"/>
      <c r="D2141" s="35"/>
      <c r="E2141" s="35"/>
      <c r="F2141" s="35"/>
      <c r="G2141" s="35"/>
      <c r="H2141" s="35"/>
      <c r="I2141" s="35"/>
      <c r="J2141" s="35"/>
      <c r="K2141" s="35"/>
      <c r="L2141" s="35"/>
      <c r="M2141" s="35"/>
    </row>
    <row r="2142" spans="2:13" x14ac:dyDescent="0.35">
      <c r="B2142" s="32"/>
      <c r="C2142" s="35"/>
      <c r="D2142" s="35"/>
      <c r="E2142" s="35"/>
      <c r="F2142" s="35"/>
      <c r="G2142" s="35"/>
      <c r="H2142" s="35"/>
      <c r="I2142" s="35"/>
      <c r="J2142" s="35"/>
      <c r="K2142" s="35"/>
      <c r="L2142" s="35"/>
      <c r="M2142" s="35"/>
    </row>
    <row r="2143" spans="2:13" x14ac:dyDescent="0.35">
      <c r="B2143" s="32"/>
      <c r="C2143" s="35"/>
      <c r="D2143" s="35"/>
      <c r="E2143" s="35"/>
      <c r="F2143" s="35"/>
      <c r="G2143" s="35"/>
      <c r="H2143" s="35"/>
      <c r="I2143" s="35"/>
      <c r="J2143" s="35"/>
      <c r="K2143" s="35"/>
      <c r="L2143" s="35"/>
      <c r="M2143" s="35"/>
    </row>
    <row r="2144" spans="2:13" x14ac:dyDescent="0.35">
      <c r="B2144" s="32"/>
      <c r="C2144" s="35"/>
      <c r="D2144" s="35"/>
      <c r="E2144" s="35"/>
      <c r="F2144" s="35"/>
      <c r="G2144" s="35"/>
      <c r="H2144" s="35"/>
      <c r="I2144" s="35"/>
      <c r="J2144" s="35"/>
      <c r="K2144" s="35"/>
      <c r="L2144" s="35"/>
      <c r="M2144" s="35"/>
    </row>
    <row r="2145" spans="2:13" x14ac:dyDescent="0.35">
      <c r="B2145" s="32"/>
      <c r="C2145" s="35"/>
      <c r="D2145" s="35"/>
      <c r="E2145" s="35"/>
      <c r="F2145" s="35"/>
      <c r="G2145" s="35"/>
      <c r="H2145" s="35"/>
      <c r="I2145" s="35"/>
      <c r="J2145" s="35"/>
      <c r="K2145" s="35"/>
      <c r="L2145" s="35"/>
      <c r="M2145" s="35"/>
    </row>
    <row r="2146" spans="2:13" x14ac:dyDescent="0.35">
      <c r="B2146" s="32"/>
      <c r="C2146" s="35"/>
      <c r="D2146" s="35"/>
      <c r="E2146" s="35"/>
      <c r="F2146" s="35"/>
      <c r="G2146" s="35"/>
      <c r="H2146" s="35"/>
      <c r="I2146" s="35"/>
      <c r="J2146" s="35"/>
      <c r="K2146" s="35"/>
      <c r="L2146" s="35"/>
      <c r="M2146" s="35"/>
    </row>
    <row r="2147" spans="2:13" x14ac:dyDescent="0.35">
      <c r="B2147" s="32"/>
      <c r="C2147" s="35"/>
      <c r="D2147" s="35"/>
      <c r="E2147" s="35"/>
      <c r="F2147" s="35"/>
      <c r="G2147" s="35"/>
      <c r="H2147" s="35"/>
      <c r="I2147" s="35"/>
      <c r="J2147" s="35"/>
      <c r="K2147" s="35"/>
      <c r="L2147" s="35"/>
      <c r="M2147" s="35"/>
    </row>
    <row r="2148" spans="2:13" x14ac:dyDescent="0.35">
      <c r="B2148" s="32"/>
      <c r="C2148" s="35"/>
      <c r="D2148" s="35"/>
      <c r="E2148" s="35"/>
      <c r="F2148" s="35"/>
      <c r="G2148" s="35"/>
      <c r="H2148" s="35"/>
      <c r="I2148" s="35"/>
      <c r="J2148" s="35"/>
      <c r="K2148" s="35"/>
      <c r="L2148" s="35"/>
      <c r="M2148" s="35"/>
    </row>
    <row r="2149" spans="2:13" x14ac:dyDescent="0.35">
      <c r="B2149" s="32"/>
      <c r="C2149" s="35"/>
      <c r="D2149" s="35"/>
      <c r="E2149" s="35"/>
      <c r="F2149" s="35"/>
      <c r="G2149" s="35"/>
      <c r="H2149" s="35"/>
      <c r="I2149" s="35"/>
      <c r="J2149" s="35"/>
      <c r="K2149" s="35"/>
      <c r="L2149" s="35"/>
      <c r="M2149" s="35"/>
    </row>
    <row r="2150" spans="2:13" x14ac:dyDescent="0.35">
      <c r="B2150" s="32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35"/>
    </row>
    <row r="2151" spans="2:13" x14ac:dyDescent="0.35">
      <c r="B2151" s="32"/>
      <c r="C2151" s="35"/>
      <c r="D2151" s="35"/>
      <c r="E2151" s="35"/>
      <c r="F2151" s="35"/>
      <c r="G2151" s="35"/>
      <c r="H2151" s="35"/>
      <c r="I2151" s="35"/>
      <c r="J2151" s="35"/>
      <c r="K2151" s="35"/>
      <c r="L2151" s="35"/>
      <c r="M2151" s="35"/>
    </row>
    <row r="2152" spans="2:13" x14ac:dyDescent="0.35">
      <c r="B2152" s="32"/>
      <c r="C2152" s="35"/>
      <c r="D2152" s="35"/>
      <c r="E2152" s="35"/>
      <c r="F2152" s="35"/>
      <c r="G2152" s="35"/>
      <c r="H2152" s="35"/>
      <c r="I2152" s="35"/>
      <c r="J2152" s="35"/>
      <c r="K2152" s="35"/>
      <c r="L2152" s="35"/>
      <c r="M2152" s="35"/>
    </row>
    <row r="2153" spans="2:13" x14ac:dyDescent="0.35">
      <c r="B2153" s="32"/>
      <c r="C2153" s="35"/>
      <c r="D2153" s="35"/>
      <c r="E2153" s="35"/>
      <c r="F2153" s="35"/>
      <c r="G2153" s="35"/>
      <c r="H2153" s="35"/>
      <c r="I2153" s="35"/>
      <c r="J2153" s="35"/>
      <c r="K2153" s="35"/>
      <c r="L2153" s="35"/>
      <c r="M2153" s="35"/>
    </row>
    <row r="2154" spans="2:13" x14ac:dyDescent="0.35">
      <c r="B2154" s="32"/>
      <c r="C2154" s="35"/>
      <c r="D2154" s="35"/>
      <c r="E2154" s="35"/>
      <c r="F2154" s="35"/>
      <c r="G2154" s="35"/>
      <c r="H2154" s="35"/>
      <c r="I2154" s="35"/>
      <c r="J2154" s="35"/>
      <c r="K2154" s="35"/>
      <c r="L2154" s="35"/>
      <c r="M2154" s="35"/>
    </row>
    <row r="2155" spans="2:13" x14ac:dyDescent="0.35">
      <c r="B2155" s="32"/>
      <c r="C2155" s="35"/>
      <c r="D2155" s="35"/>
      <c r="E2155" s="35"/>
      <c r="F2155" s="35"/>
      <c r="G2155" s="35"/>
      <c r="H2155" s="35"/>
      <c r="I2155" s="35"/>
      <c r="J2155" s="35"/>
      <c r="K2155" s="35"/>
      <c r="L2155" s="35"/>
      <c r="M2155" s="35"/>
    </row>
    <row r="2156" spans="2:13" x14ac:dyDescent="0.35">
      <c r="B2156" s="32"/>
      <c r="C2156" s="35"/>
      <c r="D2156" s="35"/>
      <c r="E2156" s="35"/>
      <c r="F2156" s="35"/>
      <c r="G2156" s="35"/>
      <c r="H2156" s="35"/>
      <c r="I2156" s="35"/>
      <c r="J2156" s="35"/>
      <c r="K2156" s="35"/>
      <c r="L2156" s="35"/>
      <c r="M2156" s="35"/>
    </row>
    <row r="2157" spans="2:13" x14ac:dyDescent="0.35">
      <c r="B2157" s="32"/>
      <c r="C2157" s="35"/>
      <c r="D2157" s="35"/>
      <c r="E2157" s="35"/>
      <c r="F2157" s="35"/>
      <c r="G2157" s="35"/>
      <c r="H2157" s="35"/>
      <c r="I2157" s="35"/>
      <c r="J2157" s="35"/>
      <c r="K2157" s="35"/>
      <c r="L2157" s="35"/>
      <c r="M2157" s="35"/>
    </row>
    <row r="2158" spans="2:13" x14ac:dyDescent="0.35">
      <c r="B2158" s="32"/>
      <c r="C2158" s="35"/>
      <c r="D2158" s="35"/>
      <c r="E2158" s="35"/>
      <c r="F2158" s="35"/>
      <c r="G2158" s="35"/>
      <c r="H2158" s="35"/>
      <c r="I2158" s="35"/>
      <c r="J2158" s="35"/>
      <c r="K2158" s="35"/>
      <c r="L2158" s="35"/>
      <c r="M2158" s="35"/>
    </row>
    <row r="2159" spans="2:13" x14ac:dyDescent="0.35">
      <c r="B2159" s="32"/>
      <c r="C2159" s="35"/>
      <c r="D2159" s="35"/>
      <c r="E2159" s="35"/>
      <c r="F2159" s="35"/>
      <c r="G2159" s="35"/>
      <c r="H2159" s="35"/>
      <c r="I2159" s="35"/>
      <c r="J2159" s="35"/>
      <c r="K2159" s="35"/>
      <c r="L2159" s="35"/>
      <c r="M2159" s="35"/>
    </row>
    <row r="2160" spans="2:13" x14ac:dyDescent="0.35">
      <c r="B2160" s="32"/>
      <c r="C2160" s="35"/>
      <c r="D2160" s="35"/>
      <c r="E2160" s="35"/>
      <c r="F2160" s="35"/>
      <c r="G2160" s="35"/>
      <c r="H2160" s="35"/>
      <c r="I2160" s="35"/>
      <c r="J2160" s="35"/>
      <c r="K2160" s="35"/>
      <c r="L2160" s="35"/>
      <c r="M2160" s="35"/>
    </row>
    <row r="2161" spans="2:13" x14ac:dyDescent="0.35">
      <c r="B2161" s="32"/>
      <c r="C2161" s="35"/>
      <c r="D2161" s="35"/>
      <c r="E2161" s="35"/>
      <c r="F2161" s="35"/>
      <c r="G2161" s="35"/>
      <c r="H2161" s="35"/>
      <c r="I2161" s="35"/>
      <c r="J2161" s="35"/>
      <c r="K2161" s="35"/>
      <c r="L2161" s="35"/>
      <c r="M2161" s="35"/>
    </row>
    <row r="2162" spans="2:13" x14ac:dyDescent="0.35">
      <c r="B2162" s="32"/>
      <c r="C2162" s="35"/>
      <c r="D2162" s="35"/>
      <c r="E2162" s="35"/>
      <c r="F2162" s="35"/>
      <c r="G2162" s="35"/>
      <c r="H2162" s="35"/>
      <c r="I2162" s="35"/>
      <c r="J2162" s="35"/>
      <c r="K2162" s="35"/>
      <c r="L2162" s="35"/>
      <c r="M2162" s="35"/>
    </row>
    <row r="2163" spans="2:13" x14ac:dyDescent="0.35">
      <c r="B2163" s="32"/>
      <c r="C2163" s="35"/>
      <c r="D2163" s="35"/>
      <c r="E2163" s="35"/>
      <c r="F2163" s="35"/>
      <c r="G2163" s="35"/>
      <c r="H2163" s="35"/>
      <c r="I2163" s="35"/>
      <c r="J2163" s="35"/>
      <c r="K2163" s="35"/>
      <c r="L2163" s="35"/>
      <c r="M2163" s="35"/>
    </row>
    <row r="2164" spans="2:13" x14ac:dyDescent="0.35">
      <c r="B2164" s="32"/>
      <c r="C2164" s="35"/>
      <c r="D2164" s="35"/>
      <c r="E2164" s="35"/>
      <c r="F2164" s="35"/>
      <c r="G2164" s="35"/>
      <c r="H2164" s="35"/>
      <c r="I2164" s="35"/>
      <c r="J2164" s="35"/>
      <c r="K2164" s="35"/>
      <c r="L2164" s="35"/>
      <c r="M2164" s="35"/>
    </row>
    <row r="2165" spans="2:13" x14ac:dyDescent="0.35">
      <c r="B2165" s="32"/>
      <c r="C2165" s="35"/>
      <c r="D2165" s="35"/>
      <c r="E2165" s="35"/>
      <c r="F2165" s="35"/>
      <c r="G2165" s="35"/>
      <c r="H2165" s="35"/>
      <c r="I2165" s="35"/>
      <c r="J2165" s="35"/>
      <c r="K2165" s="35"/>
      <c r="L2165" s="35"/>
      <c r="M2165" s="35"/>
    </row>
    <row r="2166" spans="2:13" x14ac:dyDescent="0.35">
      <c r="B2166" s="32"/>
      <c r="C2166" s="35"/>
      <c r="D2166" s="35"/>
      <c r="E2166" s="35"/>
      <c r="F2166" s="35"/>
      <c r="G2166" s="35"/>
      <c r="H2166" s="35"/>
      <c r="I2166" s="35"/>
      <c r="J2166" s="35"/>
      <c r="K2166" s="35"/>
      <c r="L2166" s="35"/>
      <c r="M2166" s="35"/>
    </row>
    <row r="2167" spans="2:13" x14ac:dyDescent="0.35">
      <c r="B2167" s="32"/>
      <c r="C2167" s="35"/>
      <c r="D2167" s="35"/>
      <c r="E2167" s="35"/>
      <c r="F2167" s="35"/>
      <c r="G2167" s="35"/>
      <c r="H2167" s="35"/>
      <c r="I2167" s="35"/>
      <c r="J2167" s="35"/>
      <c r="K2167" s="35"/>
      <c r="L2167" s="35"/>
      <c r="M2167" s="35"/>
    </row>
    <row r="2168" spans="2:13" x14ac:dyDescent="0.35">
      <c r="B2168" s="32"/>
      <c r="C2168" s="35"/>
      <c r="D2168" s="35"/>
      <c r="E2168" s="35"/>
      <c r="F2168" s="35"/>
      <c r="G2168" s="35"/>
      <c r="H2168" s="35"/>
      <c r="I2168" s="35"/>
      <c r="J2168" s="35"/>
      <c r="K2168" s="35"/>
      <c r="L2168" s="35"/>
      <c r="M2168" s="35"/>
    </row>
    <row r="2169" spans="2:13" x14ac:dyDescent="0.35">
      <c r="B2169" s="32"/>
      <c r="C2169" s="35"/>
      <c r="D2169" s="35"/>
      <c r="E2169" s="35"/>
      <c r="F2169" s="35"/>
      <c r="G2169" s="35"/>
      <c r="H2169" s="35"/>
      <c r="I2169" s="35"/>
      <c r="J2169" s="35"/>
      <c r="K2169" s="35"/>
      <c r="L2169" s="35"/>
      <c r="M2169" s="35"/>
    </row>
    <row r="2170" spans="2:13" x14ac:dyDescent="0.35">
      <c r="B2170" s="32"/>
      <c r="C2170" s="35"/>
      <c r="D2170" s="35"/>
      <c r="E2170" s="35"/>
      <c r="F2170" s="35"/>
      <c r="G2170" s="35"/>
      <c r="H2170" s="35"/>
      <c r="I2170" s="35"/>
      <c r="J2170" s="35"/>
      <c r="K2170" s="35"/>
      <c r="L2170" s="35"/>
      <c r="M2170" s="35"/>
    </row>
    <row r="2171" spans="2:13" x14ac:dyDescent="0.35">
      <c r="B2171" s="32"/>
      <c r="C2171" s="35"/>
      <c r="D2171" s="35"/>
      <c r="E2171" s="35"/>
      <c r="F2171" s="35"/>
      <c r="G2171" s="35"/>
      <c r="H2171" s="35"/>
      <c r="I2171" s="35"/>
      <c r="J2171" s="35"/>
      <c r="K2171" s="35"/>
      <c r="L2171" s="35"/>
      <c r="M2171" s="35"/>
    </row>
    <row r="2172" spans="2:13" x14ac:dyDescent="0.35">
      <c r="B2172" s="32"/>
      <c r="C2172" s="35"/>
      <c r="D2172" s="35"/>
      <c r="E2172" s="35"/>
      <c r="F2172" s="35"/>
      <c r="G2172" s="35"/>
      <c r="H2172" s="35"/>
      <c r="I2172" s="35"/>
      <c r="J2172" s="35"/>
      <c r="K2172" s="35"/>
      <c r="L2172" s="35"/>
      <c r="M2172" s="35"/>
    </row>
    <row r="2173" spans="2:13" x14ac:dyDescent="0.35">
      <c r="B2173" s="32"/>
      <c r="C2173" s="35"/>
      <c r="D2173" s="35"/>
      <c r="E2173" s="35"/>
      <c r="F2173" s="35"/>
      <c r="G2173" s="35"/>
      <c r="H2173" s="35"/>
      <c r="I2173" s="35"/>
      <c r="J2173" s="35"/>
      <c r="K2173" s="35"/>
      <c r="L2173" s="35"/>
      <c r="M2173" s="35"/>
    </row>
    <row r="2174" spans="2:13" x14ac:dyDescent="0.35">
      <c r="B2174" s="32"/>
      <c r="C2174" s="35"/>
      <c r="D2174" s="35"/>
      <c r="E2174" s="35"/>
      <c r="F2174" s="35"/>
      <c r="G2174" s="35"/>
      <c r="H2174" s="35"/>
      <c r="I2174" s="35"/>
      <c r="J2174" s="35"/>
      <c r="K2174" s="35"/>
      <c r="L2174" s="35"/>
      <c r="M2174" s="35"/>
    </row>
    <row r="2175" spans="2:13" x14ac:dyDescent="0.35">
      <c r="B2175" s="32"/>
      <c r="C2175" s="35"/>
      <c r="D2175" s="35"/>
      <c r="E2175" s="35"/>
      <c r="F2175" s="35"/>
      <c r="G2175" s="35"/>
      <c r="H2175" s="35"/>
      <c r="I2175" s="35"/>
      <c r="J2175" s="35"/>
      <c r="K2175" s="35"/>
      <c r="L2175" s="35"/>
      <c r="M2175" s="35"/>
    </row>
    <row r="2176" spans="2:13" x14ac:dyDescent="0.35">
      <c r="B2176" s="32"/>
      <c r="C2176" s="35"/>
      <c r="D2176" s="35"/>
      <c r="E2176" s="35"/>
      <c r="F2176" s="35"/>
      <c r="G2176" s="35"/>
      <c r="H2176" s="35"/>
      <c r="I2176" s="35"/>
      <c r="J2176" s="35"/>
      <c r="K2176" s="35"/>
      <c r="L2176" s="35"/>
      <c r="M2176" s="35"/>
    </row>
    <row r="2177" spans="2:13" x14ac:dyDescent="0.35">
      <c r="B2177" s="32"/>
      <c r="C2177" s="35"/>
      <c r="D2177" s="35"/>
      <c r="E2177" s="35"/>
      <c r="F2177" s="35"/>
      <c r="G2177" s="35"/>
      <c r="H2177" s="35"/>
      <c r="I2177" s="35"/>
      <c r="J2177" s="35"/>
      <c r="K2177" s="35"/>
      <c r="L2177" s="35"/>
      <c r="M2177" s="35"/>
    </row>
    <row r="2178" spans="2:13" x14ac:dyDescent="0.35">
      <c r="B2178" s="32"/>
      <c r="C2178" s="35"/>
      <c r="D2178" s="35"/>
      <c r="E2178" s="35"/>
      <c r="F2178" s="35"/>
      <c r="G2178" s="35"/>
      <c r="H2178" s="35"/>
      <c r="I2178" s="35"/>
      <c r="J2178" s="35"/>
      <c r="K2178" s="35"/>
      <c r="L2178" s="35"/>
      <c r="M2178" s="35"/>
    </row>
    <row r="2179" spans="2:13" x14ac:dyDescent="0.35">
      <c r="B2179" s="32"/>
      <c r="C2179" s="35"/>
      <c r="D2179" s="35"/>
      <c r="E2179" s="35"/>
      <c r="F2179" s="35"/>
      <c r="G2179" s="35"/>
      <c r="H2179" s="35"/>
      <c r="I2179" s="35"/>
      <c r="J2179" s="35"/>
      <c r="K2179" s="35"/>
      <c r="L2179" s="35"/>
      <c r="M2179" s="35"/>
    </row>
    <row r="2180" spans="2:13" x14ac:dyDescent="0.35">
      <c r="B2180" s="32"/>
      <c r="C2180" s="35"/>
      <c r="D2180" s="35"/>
      <c r="E2180" s="35"/>
      <c r="F2180" s="35"/>
      <c r="G2180" s="35"/>
      <c r="H2180" s="35"/>
      <c r="I2180" s="35"/>
      <c r="J2180" s="35"/>
      <c r="K2180" s="35"/>
      <c r="L2180" s="35"/>
      <c r="M2180" s="35"/>
    </row>
    <row r="2181" spans="2:13" x14ac:dyDescent="0.35">
      <c r="B2181" s="32"/>
      <c r="C2181" s="35"/>
      <c r="D2181" s="35"/>
      <c r="E2181" s="35"/>
      <c r="F2181" s="35"/>
      <c r="G2181" s="35"/>
      <c r="H2181" s="35"/>
      <c r="I2181" s="35"/>
      <c r="J2181" s="35"/>
      <c r="K2181" s="35"/>
      <c r="L2181" s="35"/>
      <c r="M2181" s="35"/>
    </row>
    <row r="2182" spans="2:13" x14ac:dyDescent="0.35">
      <c r="B2182" s="32"/>
      <c r="C2182" s="35"/>
      <c r="D2182" s="35"/>
      <c r="E2182" s="35"/>
      <c r="F2182" s="35"/>
      <c r="G2182" s="35"/>
      <c r="H2182" s="35"/>
      <c r="I2182" s="35"/>
      <c r="J2182" s="35"/>
      <c r="K2182" s="35"/>
      <c r="L2182" s="35"/>
      <c r="M2182" s="35"/>
    </row>
    <row r="2183" spans="2:13" x14ac:dyDescent="0.35">
      <c r="B2183" s="32"/>
      <c r="C2183" s="35"/>
      <c r="D2183" s="35"/>
      <c r="E2183" s="35"/>
      <c r="F2183" s="35"/>
      <c r="G2183" s="35"/>
      <c r="H2183" s="35"/>
      <c r="I2183" s="35"/>
      <c r="J2183" s="35"/>
      <c r="K2183" s="35"/>
      <c r="L2183" s="35"/>
      <c r="M2183" s="35"/>
    </row>
    <row r="2184" spans="2:13" x14ac:dyDescent="0.35">
      <c r="B2184" s="32"/>
      <c r="C2184" s="35"/>
      <c r="D2184" s="35"/>
      <c r="E2184" s="35"/>
      <c r="F2184" s="35"/>
      <c r="G2184" s="35"/>
      <c r="H2184" s="35"/>
      <c r="I2184" s="35"/>
      <c r="J2184" s="35"/>
      <c r="K2184" s="35"/>
      <c r="L2184" s="35"/>
      <c r="M2184" s="35"/>
    </row>
    <row r="2185" spans="2:13" x14ac:dyDescent="0.35">
      <c r="B2185" s="32"/>
      <c r="C2185" s="35"/>
      <c r="D2185" s="35"/>
      <c r="E2185" s="35"/>
      <c r="F2185" s="35"/>
      <c r="G2185" s="35"/>
      <c r="H2185" s="35"/>
      <c r="I2185" s="35"/>
      <c r="J2185" s="35"/>
      <c r="K2185" s="35"/>
      <c r="L2185" s="35"/>
      <c r="M2185" s="35"/>
    </row>
    <row r="2186" spans="2:13" x14ac:dyDescent="0.35">
      <c r="B2186" s="32"/>
      <c r="C2186" s="35"/>
      <c r="D2186" s="35"/>
      <c r="E2186" s="35"/>
      <c r="F2186" s="35"/>
      <c r="G2186" s="35"/>
      <c r="H2186" s="35"/>
      <c r="I2186" s="35"/>
      <c r="J2186" s="35"/>
      <c r="K2186" s="35"/>
      <c r="L2186" s="35"/>
      <c r="M2186" s="35"/>
    </row>
    <row r="2187" spans="2:13" x14ac:dyDescent="0.35">
      <c r="B2187" s="32"/>
      <c r="C2187" s="35"/>
      <c r="D2187" s="35"/>
      <c r="E2187" s="35"/>
      <c r="F2187" s="35"/>
      <c r="G2187" s="35"/>
      <c r="H2187" s="35"/>
      <c r="I2187" s="35"/>
      <c r="J2187" s="35"/>
      <c r="K2187" s="35"/>
      <c r="L2187" s="35"/>
      <c r="M2187" s="35"/>
    </row>
    <row r="2188" spans="2:13" x14ac:dyDescent="0.35">
      <c r="B2188" s="32"/>
      <c r="C2188" s="35"/>
      <c r="D2188" s="35"/>
      <c r="E2188" s="35"/>
      <c r="F2188" s="35"/>
      <c r="G2188" s="35"/>
      <c r="H2188" s="35"/>
      <c r="I2188" s="35"/>
      <c r="J2188" s="35"/>
      <c r="K2188" s="35"/>
      <c r="L2188" s="35"/>
      <c r="M2188" s="35"/>
    </row>
    <row r="2189" spans="2:13" x14ac:dyDescent="0.35">
      <c r="B2189" s="32"/>
      <c r="C2189" s="35"/>
      <c r="D2189" s="35"/>
      <c r="E2189" s="35"/>
      <c r="F2189" s="35"/>
      <c r="G2189" s="35"/>
      <c r="H2189" s="35"/>
      <c r="I2189" s="35"/>
      <c r="J2189" s="35"/>
      <c r="K2189" s="35"/>
      <c r="L2189" s="35"/>
      <c r="M2189" s="35"/>
    </row>
    <row r="2190" spans="2:13" x14ac:dyDescent="0.35">
      <c r="B2190" s="32"/>
      <c r="C2190" s="35"/>
      <c r="D2190" s="35"/>
      <c r="E2190" s="35"/>
      <c r="F2190" s="35"/>
      <c r="G2190" s="35"/>
      <c r="H2190" s="35"/>
      <c r="I2190" s="35"/>
      <c r="J2190" s="35"/>
      <c r="K2190" s="35"/>
      <c r="L2190" s="35"/>
      <c r="M2190" s="35"/>
    </row>
    <row r="2191" spans="2:13" x14ac:dyDescent="0.35">
      <c r="B2191" s="32"/>
      <c r="C2191" s="35"/>
      <c r="D2191" s="35"/>
      <c r="E2191" s="35"/>
      <c r="F2191" s="35"/>
      <c r="G2191" s="35"/>
      <c r="H2191" s="35"/>
      <c r="I2191" s="35"/>
      <c r="J2191" s="35"/>
      <c r="K2191" s="35"/>
      <c r="L2191" s="35"/>
      <c r="M2191" s="35"/>
    </row>
    <row r="2192" spans="2:13" x14ac:dyDescent="0.35">
      <c r="B2192" s="32"/>
      <c r="C2192" s="35"/>
      <c r="D2192" s="35"/>
      <c r="E2192" s="35"/>
      <c r="F2192" s="35"/>
      <c r="G2192" s="35"/>
      <c r="H2192" s="35"/>
      <c r="I2192" s="35"/>
      <c r="J2192" s="35"/>
      <c r="K2192" s="35"/>
      <c r="L2192" s="35"/>
      <c r="M2192" s="35"/>
    </row>
    <row r="2193" spans="2:13" x14ac:dyDescent="0.35">
      <c r="B2193" s="32"/>
      <c r="C2193" s="35"/>
      <c r="D2193" s="35"/>
      <c r="E2193" s="35"/>
      <c r="F2193" s="35"/>
      <c r="G2193" s="35"/>
      <c r="H2193" s="35"/>
      <c r="I2193" s="35"/>
      <c r="J2193" s="35"/>
      <c r="K2193" s="35"/>
      <c r="L2193" s="35"/>
      <c r="M2193" s="35"/>
    </row>
    <row r="2194" spans="2:13" x14ac:dyDescent="0.35">
      <c r="B2194" s="32"/>
      <c r="C2194" s="35"/>
      <c r="D2194" s="35"/>
      <c r="E2194" s="35"/>
      <c r="F2194" s="35"/>
      <c r="G2194" s="35"/>
      <c r="H2194" s="35"/>
      <c r="I2194" s="35"/>
      <c r="J2194" s="35"/>
      <c r="K2194" s="35"/>
      <c r="L2194" s="35"/>
      <c r="M2194" s="35"/>
    </row>
    <row r="2195" spans="2:13" x14ac:dyDescent="0.35">
      <c r="B2195" s="32"/>
      <c r="C2195" s="35"/>
      <c r="D2195" s="35"/>
      <c r="E2195" s="35"/>
      <c r="F2195" s="35"/>
      <c r="G2195" s="35"/>
      <c r="H2195" s="35"/>
      <c r="I2195" s="35"/>
      <c r="J2195" s="35"/>
      <c r="K2195" s="35"/>
      <c r="L2195" s="35"/>
      <c r="M2195" s="35"/>
    </row>
    <row r="2196" spans="2:13" x14ac:dyDescent="0.35">
      <c r="B2196" s="32"/>
      <c r="C2196" s="35"/>
      <c r="D2196" s="35"/>
      <c r="E2196" s="35"/>
      <c r="F2196" s="35"/>
      <c r="G2196" s="35"/>
      <c r="H2196" s="35"/>
      <c r="I2196" s="35"/>
      <c r="J2196" s="35"/>
      <c r="K2196" s="35"/>
      <c r="L2196" s="35"/>
      <c r="M2196" s="35"/>
    </row>
    <row r="2197" spans="2:13" x14ac:dyDescent="0.35">
      <c r="B2197" s="32"/>
      <c r="C2197" s="35"/>
      <c r="D2197" s="35"/>
      <c r="E2197" s="35"/>
      <c r="F2197" s="35"/>
      <c r="G2197" s="35"/>
      <c r="H2197" s="35"/>
      <c r="I2197" s="35"/>
      <c r="J2197" s="35"/>
      <c r="K2197" s="35"/>
      <c r="L2197" s="35"/>
      <c r="M2197" s="35"/>
    </row>
    <row r="2198" spans="2:13" x14ac:dyDescent="0.35">
      <c r="B2198" s="32"/>
      <c r="C2198" s="35"/>
      <c r="D2198" s="35"/>
      <c r="E2198" s="35"/>
      <c r="F2198" s="35"/>
      <c r="G2198" s="35"/>
      <c r="H2198" s="35"/>
      <c r="I2198" s="35"/>
      <c r="J2198" s="35"/>
      <c r="K2198" s="35"/>
      <c r="L2198" s="35"/>
      <c r="M2198" s="35"/>
    </row>
    <row r="2199" spans="2:13" x14ac:dyDescent="0.35">
      <c r="B2199" s="32"/>
      <c r="C2199" s="35"/>
      <c r="D2199" s="35"/>
      <c r="E2199" s="35"/>
      <c r="F2199" s="35"/>
      <c r="G2199" s="35"/>
      <c r="H2199" s="35"/>
      <c r="I2199" s="35"/>
      <c r="J2199" s="35"/>
      <c r="K2199" s="35"/>
      <c r="L2199" s="35"/>
      <c r="M2199" s="35"/>
    </row>
    <row r="2200" spans="2:13" x14ac:dyDescent="0.35">
      <c r="B2200" s="32"/>
      <c r="C2200" s="35"/>
      <c r="D2200" s="35"/>
      <c r="E2200" s="35"/>
      <c r="F2200" s="35"/>
      <c r="G2200" s="35"/>
      <c r="H2200" s="35"/>
      <c r="I2200" s="35"/>
      <c r="J2200" s="35"/>
      <c r="K2200" s="35"/>
      <c r="L2200" s="35"/>
      <c r="M2200" s="35"/>
    </row>
    <row r="2201" spans="2:13" x14ac:dyDescent="0.35">
      <c r="B2201" s="32"/>
      <c r="C2201" s="35"/>
      <c r="D2201" s="35"/>
      <c r="E2201" s="35"/>
      <c r="F2201" s="35"/>
      <c r="G2201" s="35"/>
      <c r="H2201" s="35"/>
      <c r="I2201" s="35"/>
      <c r="J2201" s="35"/>
      <c r="K2201" s="35"/>
      <c r="L2201" s="35"/>
      <c r="M2201" s="35"/>
    </row>
    <row r="2202" spans="2:13" x14ac:dyDescent="0.35">
      <c r="B2202" s="32"/>
      <c r="C2202" s="35"/>
      <c r="D2202" s="35"/>
      <c r="E2202" s="35"/>
      <c r="F2202" s="35"/>
      <c r="G2202" s="35"/>
      <c r="H2202" s="35"/>
      <c r="I2202" s="35"/>
      <c r="J2202" s="35"/>
      <c r="K2202" s="35"/>
      <c r="L2202" s="35"/>
      <c r="M2202" s="35"/>
    </row>
    <row r="2203" spans="2:13" x14ac:dyDescent="0.35">
      <c r="B2203" s="32"/>
      <c r="C2203" s="35"/>
      <c r="D2203" s="35"/>
      <c r="E2203" s="35"/>
      <c r="F2203" s="35"/>
      <c r="G2203" s="35"/>
      <c r="H2203" s="35"/>
      <c r="I2203" s="35"/>
      <c r="J2203" s="35"/>
      <c r="K2203" s="35"/>
      <c r="L2203" s="35"/>
      <c r="M2203" s="35"/>
    </row>
    <row r="2204" spans="2:13" x14ac:dyDescent="0.35">
      <c r="B2204" s="32"/>
      <c r="C2204" s="35"/>
      <c r="D2204" s="35"/>
      <c r="E2204" s="35"/>
      <c r="F2204" s="35"/>
      <c r="G2204" s="35"/>
      <c r="H2204" s="35"/>
      <c r="I2204" s="35"/>
      <c r="J2204" s="35"/>
      <c r="K2204" s="35"/>
      <c r="L2204" s="35"/>
      <c r="M2204" s="35"/>
    </row>
    <row r="2205" spans="2:13" x14ac:dyDescent="0.35">
      <c r="B2205" s="32"/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35"/>
    </row>
    <row r="2206" spans="2:13" x14ac:dyDescent="0.35">
      <c r="B2206" s="32"/>
      <c r="C2206" s="35"/>
      <c r="D2206" s="35"/>
      <c r="E2206" s="35"/>
      <c r="F2206" s="35"/>
      <c r="G2206" s="35"/>
      <c r="H2206" s="35"/>
      <c r="I2206" s="35"/>
      <c r="J2206" s="35"/>
      <c r="K2206" s="35"/>
      <c r="L2206" s="35"/>
      <c r="M2206" s="35"/>
    </row>
    <row r="2207" spans="2:13" x14ac:dyDescent="0.35">
      <c r="B2207" s="32"/>
      <c r="C2207" s="35"/>
      <c r="D2207" s="35"/>
      <c r="E2207" s="35"/>
      <c r="F2207" s="35"/>
      <c r="G2207" s="35"/>
      <c r="H2207" s="35"/>
      <c r="I2207" s="35"/>
      <c r="J2207" s="35"/>
      <c r="K2207" s="35"/>
      <c r="L2207" s="35"/>
      <c r="M2207" s="35"/>
    </row>
    <row r="2208" spans="2:13" x14ac:dyDescent="0.35">
      <c r="B2208" s="32"/>
      <c r="C2208" s="35"/>
      <c r="D2208" s="35"/>
      <c r="E2208" s="35"/>
      <c r="F2208" s="35"/>
      <c r="G2208" s="35"/>
      <c r="H2208" s="35"/>
      <c r="I2208" s="35"/>
      <c r="J2208" s="35"/>
      <c r="K2208" s="35"/>
      <c r="L2208" s="35"/>
      <c r="M2208" s="35"/>
    </row>
    <row r="2209" spans="2:13" x14ac:dyDescent="0.35">
      <c r="B2209" s="32"/>
      <c r="C2209" s="35"/>
      <c r="D2209" s="35"/>
      <c r="E2209" s="35"/>
      <c r="F2209" s="35"/>
      <c r="G2209" s="35"/>
      <c r="H2209" s="35"/>
      <c r="I2209" s="35"/>
      <c r="J2209" s="35"/>
      <c r="K2209" s="35"/>
      <c r="L2209" s="35"/>
      <c r="M2209" s="35"/>
    </row>
    <row r="2210" spans="2:13" x14ac:dyDescent="0.35">
      <c r="B2210" s="32"/>
      <c r="C2210" s="35"/>
      <c r="D2210" s="35"/>
      <c r="E2210" s="35"/>
      <c r="F2210" s="35"/>
      <c r="G2210" s="35"/>
      <c r="H2210" s="35"/>
      <c r="I2210" s="35"/>
      <c r="J2210" s="35"/>
      <c r="K2210" s="35"/>
      <c r="L2210" s="35"/>
      <c r="M2210" s="35"/>
    </row>
    <row r="2211" spans="2:13" x14ac:dyDescent="0.35">
      <c r="B2211" s="32"/>
      <c r="C2211" s="35"/>
      <c r="D2211" s="35"/>
      <c r="E2211" s="35"/>
      <c r="F2211" s="35"/>
      <c r="G2211" s="35"/>
      <c r="H2211" s="35"/>
      <c r="I2211" s="35"/>
      <c r="J2211" s="35"/>
      <c r="K2211" s="35"/>
      <c r="L2211" s="35"/>
      <c r="M2211" s="35"/>
    </row>
    <row r="2212" spans="2:13" x14ac:dyDescent="0.35">
      <c r="B2212" s="32"/>
      <c r="C2212" s="35"/>
      <c r="D2212" s="35"/>
      <c r="E2212" s="35"/>
      <c r="F2212" s="35"/>
      <c r="G2212" s="35"/>
      <c r="H2212" s="35"/>
      <c r="I2212" s="35"/>
      <c r="J2212" s="35"/>
      <c r="K2212" s="35"/>
      <c r="L2212" s="35"/>
      <c r="M2212" s="35"/>
    </row>
    <row r="2213" spans="2:13" x14ac:dyDescent="0.35">
      <c r="B2213" s="32"/>
      <c r="C2213" s="35"/>
      <c r="D2213" s="35"/>
      <c r="E2213" s="35"/>
      <c r="F2213" s="35"/>
      <c r="G2213" s="35"/>
      <c r="H2213" s="35"/>
      <c r="I2213" s="35"/>
      <c r="J2213" s="35"/>
      <c r="K2213" s="35"/>
      <c r="L2213" s="35"/>
      <c r="M2213" s="35"/>
    </row>
    <row r="2214" spans="2:13" x14ac:dyDescent="0.35">
      <c r="B2214" s="32"/>
      <c r="C2214" s="35"/>
      <c r="D2214" s="35"/>
      <c r="E2214" s="35"/>
      <c r="F2214" s="35"/>
      <c r="G2214" s="35"/>
      <c r="H2214" s="35"/>
      <c r="I2214" s="35"/>
      <c r="J2214" s="35"/>
      <c r="K2214" s="35"/>
      <c r="L2214" s="35"/>
      <c r="M2214" s="35"/>
    </row>
    <row r="2215" spans="2:13" x14ac:dyDescent="0.35">
      <c r="B2215" s="32"/>
      <c r="C2215" s="35"/>
      <c r="D2215" s="35"/>
      <c r="E2215" s="35"/>
      <c r="F2215" s="35"/>
      <c r="G2215" s="35"/>
      <c r="H2215" s="35"/>
      <c r="I2215" s="35"/>
      <c r="J2215" s="35"/>
      <c r="K2215" s="35"/>
      <c r="L2215" s="35"/>
      <c r="M2215" s="35"/>
    </row>
    <row r="2216" spans="2:13" x14ac:dyDescent="0.35">
      <c r="B2216" s="32"/>
      <c r="C2216" s="35"/>
      <c r="D2216" s="35"/>
      <c r="E2216" s="35"/>
      <c r="F2216" s="35"/>
      <c r="G2216" s="35"/>
      <c r="H2216" s="35"/>
      <c r="I2216" s="35"/>
      <c r="J2216" s="35"/>
      <c r="K2216" s="35"/>
      <c r="L2216" s="35"/>
      <c r="M2216" s="35"/>
    </row>
    <row r="2217" spans="2:13" x14ac:dyDescent="0.35">
      <c r="B2217" s="32"/>
      <c r="C2217" s="35"/>
      <c r="D2217" s="35"/>
      <c r="E2217" s="35"/>
      <c r="F2217" s="35"/>
      <c r="G2217" s="35"/>
      <c r="H2217" s="35"/>
      <c r="I2217" s="35"/>
      <c r="J2217" s="35"/>
      <c r="K2217" s="35"/>
      <c r="L2217" s="35"/>
      <c r="M2217" s="35"/>
    </row>
    <row r="2218" spans="2:13" x14ac:dyDescent="0.35">
      <c r="B2218" s="32"/>
      <c r="C2218" s="35"/>
      <c r="D2218" s="35"/>
      <c r="E2218" s="35"/>
      <c r="F2218" s="35"/>
      <c r="G2218" s="35"/>
      <c r="H2218" s="35"/>
      <c r="I2218" s="35"/>
      <c r="J2218" s="35"/>
      <c r="K2218" s="35"/>
      <c r="L2218" s="35"/>
      <c r="M2218" s="35"/>
    </row>
    <row r="2219" spans="2:13" x14ac:dyDescent="0.35">
      <c r="B2219" s="32"/>
      <c r="C2219" s="35"/>
      <c r="D2219" s="35"/>
      <c r="E2219" s="35"/>
      <c r="F2219" s="35"/>
      <c r="G2219" s="35"/>
      <c r="H2219" s="35"/>
      <c r="I2219" s="35"/>
      <c r="J2219" s="35"/>
      <c r="K2219" s="35"/>
      <c r="L2219" s="35"/>
      <c r="M2219" s="35"/>
    </row>
    <row r="2220" spans="2:13" x14ac:dyDescent="0.35">
      <c r="B2220" s="32"/>
      <c r="C2220" s="35"/>
      <c r="D2220" s="35"/>
      <c r="E2220" s="35"/>
      <c r="F2220" s="35"/>
      <c r="G2220" s="35"/>
      <c r="H2220" s="35"/>
      <c r="I2220" s="35"/>
      <c r="J2220" s="35"/>
      <c r="K2220" s="35"/>
      <c r="L2220" s="35"/>
      <c r="M2220" s="35"/>
    </row>
    <row r="2221" spans="2:13" x14ac:dyDescent="0.35">
      <c r="B2221" s="32"/>
      <c r="C2221" s="35"/>
      <c r="D2221" s="35"/>
      <c r="E2221" s="35"/>
      <c r="F2221" s="35"/>
      <c r="G2221" s="35"/>
      <c r="H2221" s="35"/>
      <c r="I2221" s="35"/>
      <c r="J2221" s="35"/>
      <c r="K2221" s="35"/>
      <c r="L2221" s="35"/>
      <c r="M2221" s="35"/>
    </row>
    <row r="2222" spans="2:13" x14ac:dyDescent="0.35">
      <c r="B2222" s="32"/>
      <c r="C2222" s="35"/>
      <c r="D2222" s="35"/>
      <c r="E2222" s="35"/>
      <c r="F2222" s="35"/>
      <c r="G2222" s="35"/>
      <c r="H2222" s="35"/>
      <c r="I2222" s="35"/>
      <c r="J2222" s="35"/>
      <c r="K2222" s="35"/>
      <c r="L2222" s="35"/>
      <c r="M2222" s="35"/>
    </row>
    <row r="2223" spans="2:13" x14ac:dyDescent="0.35">
      <c r="B2223" s="32"/>
      <c r="C2223" s="35"/>
      <c r="D2223" s="35"/>
      <c r="E2223" s="35"/>
      <c r="F2223" s="35"/>
      <c r="G2223" s="35"/>
      <c r="H2223" s="35"/>
      <c r="I2223" s="35"/>
      <c r="J2223" s="35"/>
      <c r="K2223" s="35"/>
      <c r="L2223" s="35"/>
      <c r="M2223" s="35"/>
    </row>
    <row r="2224" spans="2:13" x14ac:dyDescent="0.35">
      <c r="B2224" s="32"/>
      <c r="C2224" s="35"/>
      <c r="D2224" s="35"/>
      <c r="E2224" s="35"/>
      <c r="F2224" s="35"/>
      <c r="G2224" s="35"/>
      <c r="H2224" s="35"/>
      <c r="I2224" s="35"/>
      <c r="J2224" s="35"/>
      <c r="K2224" s="35"/>
      <c r="L2224" s="35"/>
      <c r="M2224" s="35"/>
    </row>
    <row r="2225" spans="2:13" x14ac:dyDescent="0.35">
      <c r="B2225" s="32"/>
      <c r="C2225" s="35"/>
      <c r="D2225" s="35"/>
      <c r="E2225" s="35"/>
      <c r="F2225" s="35"/>
      <c r="G2225" s="35"/>
      <c r="H2225" s="35"/>
      <c r="I2225" s="35"/>
      <c r="J2225" s="35"/>
      <c r="K2225" s="35"/>
      <c r="L2225" s="35"/>
      <c r="M2225" s="35"/>
    </row>
    <row r="2226" spans="2:13" x14ac:dyDescent="0.35">
      <c r="B2226" s="32"/>
      <c r="C2226" s="35"/>
      <c r="D2226" s="35"/>
      <c r="E2226" s="35"/>
      <c r="F2226" s="35"/>
      <c r="G2226" s="35"/>
      <c r="H2226" s="35"/>
      <c r="I2226" s="35"/>
      <c r="J2226" s="35"/>
      <c r="K2226" s="35"/>
      <c r="L2226" s="35"/>
      <c r="M2226" s="35"/>
    </row>
    <row r="2227" spans="2:13" x14ac:dyDescent="0.35">
      <c r="B2227" s="32"/>
      <c r="C2227" s="35"/>
      <c r="D2227" s="35"/>
      <c r="E2227" s="35"/>
      <c r="F2227" s="35"/>
      <c r="G2227" s="35"/>
      <c r="H2227" s="35"/>
      <c r="I2227" s="35"/>
      <c r="J2227" s="35"/>
      <c r="K2227" s="35"/>
      <c r="L2227" s="35"/>
      <c r="M2227" s="35"/>
    </row>
    <row r="2228" spans="2:13" x14ac:dyDescent="0.35">
      <c r="B2228" s="32"/>
      <c r="C2228" s="35"/>
      <c r="D2228" s="35"/>
      <c r="E2228" s="35"/>
      <c r="F2228" s="35"/>
      <c r="G2228" s="35"/>
      <c r="H2228" s="35"/>
      <c r="I2228" s="35"/>
      <c r="J2228" s="35"/>
      <c r="K2228" s="35"/>
      <c r="L2228" s="35"/>
      <c r="M2228" s="35"/>
    </row>
    <row r="2229" spans="2:13" x14ac:dyDescent="0.35">
      <c r="B2229" s="32"/>
      <c r="C2229" s="35"/>
      <c r="D2229" s="35"/>
      <c r="E2229" s="35"/>
      <c r="F2229" s="35"/>
      <c r="G2229" s="35"/>
      <c r="H2229" s="35"/>
      <c r="I2229" s="35"/>
      <c r="J2229" s="35"/>
      <c r="K2229" s="35"/>
      <c r="L2229" s="35"/>
      <c r="M2229" s="35"/>
    </row>
    <row r="2230" spans="2:13" x14ac:dyDescent="0.35">
      <c r="B2230" s="32"/>
      <c r="C2230" s="35"/>
      <c r="D2230" s="35"/>
      <c r="E2230" s="35"/>
      <c r="F2230" s="35"/>
      <c r="G2230" s="35"/>
      <c r="H2230" s="35"/>
      <c r="I2230" s="35"/>
      <c r="J2230" s="35"/>
      <c r="K2230" s="35"/>
      <c r="L2230" s="35"/>
      <c r="M2230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C76D-D2CD-4DA8-9F8B-FFE90C7E23A9}">
  <dimension ref="B2:AG2230"/>
  <sheetViews>
    <sheetView topLeftCell="A3" zoomScale="50" zoomScaleNormal="50" workbookViewId="0">
      <selection activeCell="R18" sqref="R18"/>
    </sheetView>
  </sheetViews>
  <sheetFormatPr defaultRowHeight="14.5" x14ac:dyDescent="0.35"/>
  <cols>
    <col min="1" max="1" width="2.81640625" style="1" customWidth="1"/>
    <col min="2" max="2" width="38.36328125" style="1" bestFit="1" customWidth="1"/>
    <col min="3" max="3" width="36.36328125" style="1" bestFit="1" customWidth="1"/>
    <col min="4" max="4" width="38.36328125" style="1" bestFit="1" customWidth="1"/>
    <col min="5" max="5" width="25.81640625" style="1" customWidth="1"/>
    <col min="6" max="6" width="28.36328125" style="1" bestFit="1" customWidth="1"/>
    <col min="7" max="12" width="25.81640625" style="1" customWidth="1"/>
    <col min="13" max="13" width="32" style="1" bestFit="1" customWidth="1"/>
    <col min="14" max="14" width="25.1796875" style="1" customWidth="1"/>
    <col min="15" max="15" width="27.6328125" style="1" customWidth="1"/>
    <col min="16" max="16" width="24.36328125" style="1" customWidth="1"/>
    <col min="17" max="17" width="40.453125" style="1" bestFit="1" customWidth="1"/>
    <col min="18" max="18" width="37.36328125" style="1" customWidth="1"/>
    <col min="19" max="19" width="33.36328125" style="1" customWidth="1"/>
    <col min="20" max="20" width="37.36328125" style="1" customWidth="1"/>
    <col min="21" max="21" width="42.1796875" style="1" customWidth="1"/>
    <col min="22" max="22" width="26.54296875" style="1" customWidth="1"/>
    <col min="23" max="23" width="28.36328125" style="1" customWidth="1"/>
    <col min="24" max="24" width="32.453125" style="1" customWidth="1"/>
    <col min="25" max="25" width="25.81640625" style="1" customWidth="1"/>
    <col min="26" max="26" width="25.54296875" style="1" customWidth="1"/>
    <col min="27" max="27" width="25.1796875" style="1" customWidth="1"/>
    <col min="28" max="28" width="28.54296875" style="1" customWidth="1"/>
    <col min="29" max="29" width="22" style="1" customWidth="1"/>
    <col min="30" max="30" width="10.54296875" style="1" bestFit="1" customWidth="1"/>
    <col min="31" max="31" width="15.36328125" style="1" bestFit="1" customWidth="1"/>
    <col min="32" max="33" width="10.54296875" style="1" bestFit="1" customWidth="1"/>
    <col min="34" max="16384" width="8.7265625" style="1"/>
  </cols>
  <sheetData>
    <row r="2" spans="2:33" ht="14.4" customHeight="1" thickBot="1" x14ac:dyDescent="0.65">
      <c r="B2" s="51"/>
      <c r="C2" s="51"/>
      <c r="D2" s="51"/>
    </row>
    <row r="3" spans="2:33" ht="30.65" customHeight="1" thickBot="1" x14ac:dyDescent="0.4">
      <c r="C3" s="52"/>
      <c r="D3" s="53" t="s">
        <v>0</v>
      </c>
    </row>
    <row r="4" spans="2:33" ht="14.4" customHeight="1" x14ac:dyDescent="0.35">
      <c r="AF4" s="3"/>
      <c r="AG4" s="3"/>
    </row>
    <row r="5" spans="2:33" ht="14.4" customHeight="1" x14ac:dyDescent="0.4">
      <c r="B5" s="92" t="s">
        <v>1</v>
      </c>
      <c r="C5" s="93" t="s">
        <v>2</v>
      </c>
      <c r="D5" s="93" t="s">
        <v>3</v>
      </c>
      <c r="E5" s="93" t="s">
        <v>4</v>
      </c>
      <c r="F5" s="93" t="s">
        <v>5</v>
      </c>
      <c r="G5" s="93" t="s">
        <v>6</v>
      </c>
      <c r="H5" s="93" t="s">
        <v>7</v>
      </c>
      <c r="I5" s="93" t="s">
        <v>8</v>
      </c>
      <c r="J5" s="93" t="s">
        <v>9</v>
      </c>
      <c r="K5" s="93" t="s">
        <v>10</v>
      </c>
      <c r="L5" s="111" t="s">
        <v>39</v>
      </c>
      <c r="M5" s="93" t="s">
        <v>40</v>
      </c>
      <c r="N5" s="93" t="s">
        <v>41</v>
      </c>
      <c r="O5" s="93" t="s">
        <v>13</v>
      </c>
      <c r="Q5" s="94" t="s">
        <v>14</v>
      </c>
      <c r="R5" s="95" t="s">
        <v>15</v>
      </c>
      <c r="S5" s="95" t="s">
        <v>16</v>
      </c>
      <c r="T5" s="95" t="s">
        <v>17</v>
      </c>
      <c r="U5" s="95" t="s">
        <v>18</v>
      </c>
      <c r="V5" s="95" t="s">
        <v>19</v>
      </c>
      <c r="W5" s="95" t="s">
        <v>20</v>
      </c>
      <c r="X5" s="95" t="s">
        <v>21</v>
      </c>
      <c r="Z5" s="105" t="s">
        <v>35</v>
      </c>
      <c r="AA5" s="105" t="s">
        <v>36</v>
      </c>
      <c r="AB5" s="105" t="s">
        <v>37</v>
      </c>
      <c r="AF5" s="3"/>
      <c r="AG5" s="3"/>
    </row>
    <row r="6" spans="2:33" x14ac:dyDescent="0.35">
      <c r="B6" s="75">
        <v>44927</v>
      </c>
      <c r="C6" s="76">
        <v>3343.21</v>
      </c>
      <c r="D6" s="76">
        <v>874.1</v>
      </c>
      <c r="E6" s="76">
        <v>450.71</v>
      </c>
      <c r="F6" s="76">
        <v>720.54</v>
      </c>
      <c r="G6" s="76">
        <v>2926.45</v>
      </c>
      <c r="H6" s="76">
        <v>716.45</v>
      </c>
      <c r="I6" s="76">
        <v>1525.16</v>
      </c>
      <c r="J6" s="76">
        <v>831.9</v>
      </c>
      <c r="K6" s="76">
        <v>1342.45</v>
      </c>
      <c r="L6" s="112">
        <v>229.25</v>
      </c>
      <c r="M6" s="113">
        <v>1068.48</v>
      </c>
      <c r="N6" s="113">
        <v>1122.2</v>
      </c>
      <c r="O6" s="76">
        <v>17662.150000000001</v>
      </c>
      <c r="Q6" s="4" t="s">
        <v>13</v>
      </c>
      <c r="R6" s="5" t="s">
        <v>22</v>
      </c>
      <c r="S6" s="6">
        <f>AVERAGE(O35:O58)</f>
        <v>1.3266928411915187E-2</v>
      </c>
      <c r="T6" s="6">
        <f>S6*12</f>
        <v>0.15920314094298224</v>
      </c>
      <c r="U6" s="6">
        <f>_xlfn.VAR.S(O35:O58)</f>
        <v>1.0611924828376191E-3</v>
      </c>
      <c r="V6" s="6">
        <f t="shared" ref="V6:V15" si="0">SQRT(U6)</f>
        <v>3.2575949454123655E-2</v>
      </c>
      <c r="W6" s="5" t="s">
        <v>22</v>
      </c>
      <c r="X6" s="91">
        <f>V6*SQRT(12)</f>
        <v>0.1128463991186756</v>
      </c>
      <c r="Z6" s="68">
        <f>SLOPE(M35:M2231,M35:M2231)</f>
        <v>1</v>
      </c>
      <c r="AA6" s="69" t="s">
        <v>22</v>
      </c>
      <c r="AB6" s="69" t="s">
        <v>22</v>
      </c>
      <c r="AF6" s="3"/>
      <c r="AG6" s="3"/>
    </row>
    <row r="7" spans="2:33" ht="16" x14ac:dyDescent="0.4">
      <c r="B7" s="75">
        <v>44958</v>
      </c>
      <c r="C7" s="76">
        <v>3297.57</v>
      </c>
      <c r="D7" s="76">
        <v>816</v>
      </c>
      <c r="E7" s="76">
        <v>419.41</v>
      </c>
      <c r="F7" s="76">
        <v>706.52</v>
      </c>
      <c r="G7" s="76">
        <v>3246.6</v>
      </c>
      <c r="H7" s="76">
        <v>667.2</v>
      </c>
      <c r="I7" s="76">
        <v>1479.21</v>
      </c>
      <c r="J7" s="76">
        <v>854.85</v>
      </c>
      <c r="K7" s="76">
        <v>1334.9</v>
      </c>
      <c r="L7" s="112">
        <v>260.14999999999998</v>
      </c>
      <c r="M7" s="113">
        <v>1054.27</v>
      </c>
      <c r="N7" s="113">
        <v>1077.5999999999999</v>
      </c>
      <c r="O7" s="76">
        <v>17303.95</v>
      </c>
      <c r="Q7" s="106" t="s">
        <v>2</v>
      </c>
      <c r="R7" s="7">
        <v>8.5000000000000006E-2</v>
      </c>
      <c r="S7" s="8">
        <f>AVERAGE(C35:C58)</f>
        <v>9.5390385373609471E-3</v>
      </c>
      <c r="T7" s="9">
        <f t="shared" ref="T7:T18" si="1">S7*12</f>
        <v>0.11446846244833137</v>
      </c>
      <c r="U7" s="9">
        <f>_xlfn.VAR.S(C35:C58)</f>
        <v>2.922996511033464E-3</v>
      </c>
      <c r="V7" s="9">
        <f t="shared" si="0"/>
        <v>5.4064743697103235E-2</v>
      </c>
      <c r="W7" s="10">
        <f>V7/S7*100</f>
        <v>566.77351166316475</v>
      </c>
      <c r="X7" s="11">
        <f t="shared" ref="X7:X18" si="2">V7*SQRT(12)</f>
        <v>0.18728576596314403</v>
      </c>
      <c r="Z7" s="70">
        <f>SLOPE($C35:$C58,$O$35:$O$58)</f>
        <v>1.0605840992552273</v>
      </c>
      <c r="AA7" s="71">
        <f t="shared" ref="AA7:AA18" si="3">$R$24+($T$6-$R$24)*Z7</f>
        <v>0.16521327388030219</v>
      </c>
      <c r="AB7" s="71">
        <f t="shared" ref="AB7:AB18" si="4">T7-AA7</f>
        <v>-5.0744811431970821E-2</v>
      </c>
      <c r="AC7" s="2"/>
      <c r="AE7" s="2"/>
      <c r="AF7" s="3"/>
      <c r="AG7" s="3"/>
    </row>
    <row r="8" spans="2:33" ht="16" x14ac:dyDescent="0.4">
      <c r="B8" s="75">
        <v>44986</v>
      </c>
      <c r="C8" s="76">
        <v>3191.11</v>
      </c>
      <c r="D8" s="76">
        <v>770.45</v>
      </c>
      <c r="E8" s="76">
        <v>419.51</v>
      </c>
      <c r="F8" s="76">
        <v>700.15</v>
      </c>
      <c r="G8" s="76">
        <v>3327.15</v>
      </c>
      <c r="H8" s="76">
        <v>688.1</v>
      </c>
      <c r="I8" s="76">
        <v>1419.95</v>
      </c>
      <c r="J8" s="76">
        <v>877.25</v>
      </c>
      <c r="K8" s="76">
        <v>1266.5</v>
      </c>
      <c r="L8" s="112">
        <v>277.39999999999998</v>
      </c>
      <c r="M8" s="113">
        <v>1058.1300000000001</v>
      </c>
      <c r="N8" s="113">
        <v>1085.25</v>
      </c>
      <c r="O8" s="76">
        <v>17359.75</v>
      </c>
      <c r="Q8" s="106" t="s">
        <v>3</v>
      </c>
      <c r="R8" s="12">
        <v>7.4999999999999997E-2</v>
      </c>
      <c r="S8" s="13">
        <f>AVERAGE(D35:D58)</f>
        <v>2.0695258026663749E-2</v>
      </c>
      <c r="T8" s="14">
        <f t="shared" si="1"/>
        <v>0.24834309631996498</v>
      </c>
      <c r="U8" s="14">
        <f>_xlfn.VAR.S(D35:D58)</f>
        <v>7.2714111215081423E-3</v>
      </c>
      <c r="V8" s="14">
        <f t="shared" si="0"/>
        <v>8.5272569572566195E-2</v>
      </c>
      <c r="W8" s="15">
        <f t="shared" ref="W8:W15" si="5">V8/S8*100</f>
        <v>412.03917082213286</v>
      </c>
      <c r="X8" s="16">
        <f t="shared" si="2"/>
        <v>0.29539284598327309</v>
      </c>
      <c r="Z8" s="70">
        <f>SLOPE(D35:D58,O35:O58)</f>
        <v>0.97434074621696654</v>
      </c>
      <c r="AA8" s="71">
        <f t="shared" si="3"/>
        <v>0.15665766237345222</v>
      </c>
      <c r="AB8" s="71">
        <f t="shared" si="4"/>
        <v>9.1685433946512768E-2</v>
      </c>
      <c r="AC8" s="3"/>
      <c r="AE8" s="3"/>
      <c r="AF8" s="3"/>
      <c r="AG8" s="3"/>
    </row>
    <row r="9" spans="2:33" ht="16" x14ac:dyDescent="0.4">
      <c r="B9" s="75">
        <v>45017</v>
      </c>
      <c r="C9" s="76">
        <v>3204.4</v>
      </c>
      <c r="D9" s="76">
        <v>801.35</v>
      </c>
      <c r="E9" s="76">
        <v>483.46</v>
      </c>
      <c r="F9" s="76">
        <v>754.47</v>
      </c>
      <c r="G9" s="76">
        <v>3449.6</v>
      </c>
      <c r="H9" s="76">
        <v>725.3</v>
      </c>
      <c r="I9" s="76">
        <v>1245.73</v>
      </c>
      <c r="J9" s="76">
        <v>917.65</v>
      </c>
      <c r="K9" s="76">
        <v>1354.65</v>
      </c>
      <c r="L9" s="112">
        <v>289.04000000000002</v>
      </c>
      <c r="M9" s="113">
        <v>1098.74</v>
      </c>
      <c r="N9" s="113">
        <v>1064.0999999999999</v>
      </c>
      <c r="O9" s="76">
        <v>18065</v>
      </c>
      <c r="Q9" s="106" t="s">
        <v>4</v>
      </c>
      <c r="R9" s="12">
        <v>0.1</v>
      </c>
      <c r="S9" s="13">
        <f>AVERAGE(E35:E58)</f>
        <v>2.5854398169651013E-2</v>
      </c>
      <c r="T9" s="14">
        <f t="shared" si="1"/>
        <v>0.31025277803581214</v>
      </c>
      <c r="U9" s="14">
        <f>_xlfn.VAR.S(E35:E58)</f>
        <v>8.550765753507E-3</v>
      </c>
      <c r="V9" s="14">
        <f t="shared" si="0"/>
        <v>9.2470350672564233E-2</v>
      </c>
      <c r="W9" s="15">
        <f>V9/S9*100</f>
        <v>357.6581054635023</v>
      </c>
      <c r="X9" s="16">
        <f t="shared" si="2"/>
        <v>0.32032669111718431</v>
      </c>
      <c r="Z9" s="70">
        <f>SLOPE(E35:E58,O35:O58)</f>
        <v>2.0343564321055996</v>
      </c>
      <c r="AA9" s="71">
        <f t="shared" si="3"/>
        <v>0.2618145478624343</v>
      </c>
      <c r="AB9" s="71">
        <f t="shared" si="4"/>
        <v>4.8438230173377839E-2</v>
      </c>
      <c r="AC9" s="3"/>
      <c r="AE9" s="3"/>
      <c r="AF9" s="17"/>
      <c r="AG9" s="18"/>
    </row>
    <row r="10" spans="2:33" ht="16" x14ac:dyDescent="0.4">
      <c r="B10" s="75">
        <v>45047</v>
      </c>
      <c r="C10" s="76">
        <v>3274.33</v>
      </c>
      <c r="D10" s="76">
        <v>791.3</v>
      </c>
      <c r="E10" s="76">
        <v>524.67999999999995</v>
      </c>
      <c r="F10" s="76">
        <v>788.84</v>
      </c>
      <c r="G10" s="76">
        <v>3551.65</v>
      </c>
      <c r="H10" s="76">
        <v>696.3</v>
      </c>
      <c r="I10" s="76">
        <v>1310.91</v>
      </c>
      <c r="J10" s="76">
        <v>949.15</v>
      </c>
      <c r="K10" s="76">
        <v>1451.05</v>
      </c>
      <c r="L10" s="112">
        <v>338.89</v>
      </c>
      <c r="M10" s="113">
        <v>1121.1600000000001</v>
      </c>
      <c r="N10" s="113">
        <v>1145.0999999999999</v>
      </c>
      <c r="O10" s="76">
        <v>18534.400000000001</v>
      </c>
      <c r="Q10" s="106" t="s">
        <v>5</v>
      </c>
      <c r="R10" s="12">
        <v>7.4999999999999997E-2</v>
      </c>
      <c r="S10" s="13">
        <f>AVERAGE(F35:F58)</f>
        <v>1.2529988758052392E-2</v>
      </c>
      <c r="T10" s="14">
        <f>S10*12</f>
        <v>0.15035986509662871</v>
      </c>
      <c r="U10" s="14">
        <f>_xlfn.VAR.S(F35:F58)</f>
        <v>4.3452839633811588E-3</v>
      </c>
      <c r="V10" s="14">
        <f t="shared" si="0"/>
        <v>6.5918767914617149E-2</v>
      </c>
      <c r="W10" s="15">
        <f t="shared" si="5"/>
        <v>526.08800524465335</v>
      </c>
      <c r="X10" s="16">
        <f t="shared" si="2"/>
        <v>0.22834931040091605</v>
      </c>
      <c r="Z10" s="70">
        <f>SLOPE(F35:F58,O35:O58)</f>
        <v>1.5618141023724985</v>
      </c>
      <c r="AA10" s="71">
        <f t="shared" si="3"/>
        <v>0.21493686452439625</v>
      </c>
      <c r="AB10" s="71">
        <f t="shared" si="4"/>
        <v>-6.457699942776754E-2</v>
      </c>
      <c r="AC10" s="3"/>
      <c r="AE10" s="3"/>
      <c r="AF10" s="17"/>
      <c r="AG10" s="17"/>
    </row>
    <row r="11" spans="2:33" ht="16" x14ac:dyDescent="0.4">
      <c r="B11" s="75">
        <v>45078</v>
      </c>
      <c r="C11" s="76">
        <v>3287.02</v>
      </c>
      <c r="D11" s="76">
        <v>836.8</v>
      </c>
      <c r="E11" s="76">
        <v>593.72</v>
      </c>
      <c r="F11" s="76">
        <v>850.33</v>
      </c>
      <c r="G11" s="76">
        <v>3766.45</v>
      </c>
      <c r="H11" s="76">
        <v>784.8</v>
      </c>
      <c r="I11" s="76">
        <v>1328.02</v>
      </c>
      <c r="J11" s="76">
        <v>934.6</v>
      </c>
      <c r="K11" s="76">
        <v>1528</v>
      </c>
      <c r="L11" s="112">
        <v>321.02</v>
      </c>
      <c r="M11" s="113">
        <v>1157.6300000000001</v>
      </c>
      <c r="N11" s="113">
        <v>1187.95</v>
      </c>
      <c r="O11" s="76">
        <v>19189.05</v>
      </c>
      <c r="Q11" s="106" t="s">
        <v>6</v>
      </c>
      <c r="R11" s="12">
        <v>0.09</v>
      </c>
      <c r="S11" s="13">
        <f>AVERAGE(G35:G58)</f>
        <v>3.8803050897868452E-2</v>
      </c>
      <c r="T11" s="14">
        <f t="shared" si="1"/>
        <v>0.46563661077442142</v>
      </c>
      <c r="U11" s="14">
        <f>_xlfn.VAR.S(G35:G58)</f>
        <v>6.8971757098040118E-3</v>
      </c>
      <c r="V11" s="14">
        <f t="shared" si="0"/>
        <v>8.3049236659971853E-2</v>
      </c>
      <c r="W11" s="15">
        <f t="shared" si="5"/>
        <v>214.02759509442069</v>
      </c>
      <c r="X11" s="16">
        <f t="shared" si="2"/>
        <v>0.28769099484976612</v>
      </c>
      <c r="Z11" s="70">
        <f>SLOPE(G35:G58,O35:O58)</f>
        <v>0.90589498125085421</v>
      </c>
      <c r="AA11" s="71">
        <f t="shared" si="3"/>
        <v>0.14986762750456875</v>
      </c>
      <c r="AB11" s="71">
        <f t="shared" si="4"/>
        <v>0.3157689832698527</v>
      </c>
      <c r="AC11" s="3"/>
      <c r="AE11" s="3"/>
      <c r="AF11" s="17"/>
      <c r="AG11" s="17"/>
    </row>
    <row r="12" spans="2:33" ht="16" x14ac:dyDescent="0.4">
      <c r="B12" s="75">
        <v>45108</v>
      </c>
      <c r="C12" s="76">
        <v>3405.67</v>
      </c>
      <c r="D12" s="76">
        <v>931.45</v>
      </c>
      <c r="E12" s="76">
        <v>642.32000000000005</v>
      </c>
      <c r="F12" s="76">
        <v>848.75</v>
      </c>
      <c r="G12" s="76">
        <v>3983</v>
      </c>
      <c r="H12" s="76">
        <v>816.75</v>
      </c>
      <c r="I12" s="76">
        <v>1348.1</v>
      </c>
      <c r="J12" s="76">
        <v>998.3</v>
      </c>
      <c r="K12" s="76">
        <v>1598.3</v>
      </c>
      <c r="L12" s="112">
        <v>321.76</v>
      </c>
      <c r="M12" s="113">
        <v>1274.6300000000001</v>
      </c>
      <c r="N12" s="113">
        <v>1116.7</v>
      </c>
      <c r="O12" s="76">
        <v>19753.8</v>
      </c>
      <c r="Q12" s="106" t="s">
        <v>7</v>
      </c>
      <c r="R12" s="12">
        <v>6.5000000000000002E-2</v>
      </c>
      <c r="S12" s="13">
        <f>AVERAGE(H35:H58)</f>
        <v>1.1735989976905668E-2</v>
      </c>
      <c r="T12" s="14">
        <f t="shared" si="1"/>
        <v>0.14083187972286801</v>
      </c>
      <c r="U12" s="14">
        <f>_xlfn.VAR.S(H35:H58)</f>
        <v>3.6074904526718081E-3</v>
      </c>
      <c r="V12" s="14">
        <f t="shared" si="0"/>
        <v>6.0062388003406991E-2</v>
      </c>
      <c r="W12" s="15">
        <f t="shared" si="5"/>
        <v>511.7794759675071</v>
      </c>
      <c r="X12" s="16">
        <f t="shared" si="2"/>
        <v>0.20806221529163263</v>
      </c>
      <c r="Z12" s="70">
        <f>SLOPE(H35:H58,O35:O58)</f>
        <v>1.3977652047921347</v>
      </c>
      <c r="AA12" s="71">
        <f t="shared" si="3"/>
        <v>0.19866269861619057</v>
      </c>
      <c r="AB12" s="71">
        <f t="shared" si="4"/>
        <v>-5.7830818893322561E-2</v>
      </c>
      <c r="AC12" s="3"/>
      <c r="AE12" s="3"/>
      <c r="AF12" s="17"/>
      <c r="AG12" s="17"/>
    </row>
    <row r="13" spans="2:33" ht="16" x14ac:dyDescent="0.4">
      <c r="B13" s="75">
        <v>45139</v>
      </c>
      <c r="C13" s="76">
        <v>3341.32</v>
      </c>
      <c r="D13" s="76">
        <v>1070.3499999999999</v>
      </c>
      <c r="E13" s="76">
        <v>599.15</v>
      </c>
      <c r="F13" s="76">
        <v>824.11</v>
      </c>
      <c r="G13" s="76">
        <v>3922.1</v>
      </c>
      <c r="H13" s="76">
        <v>779.65</v>
      </c>
      <c r="I13" s="76">
        <v>1427.41</v>
      </c>
      <c r="J13" s="76">
        <v>958.75</v>
      </c>
      <c r="K13" s="76">
        <v>1488.9</v>
      </c>
      <c r="L13" s="112">
        <v>359.8</v>
      </c>
      <c r="M13" s="113">
        <v>1203.5</v>
      </c>
      <c r="N13" s="113">
        <v>1172.1500000000001</v>
      </c>
      <c r="O13" s="76">
        <v>19253.8</v>
      </c>
      <c r="Q13" s="106" t="s">
        <v>8</v>
      </c>
      <c r="R13" s="12">
        <v>0.05</v>
      </c>
      <c r="S13" s="13">
        <f>AVERAGE(I35:I58)</f>
        <v>1.1495352325818008E-2</v>
      </c>
      <c r="T13" s="14">
        <f t="shared" si="1"/>
        <v>0.13794422790981609</v>
      </c>
      <c r="U13" s="14">
        <f>_xlfn.VAR.S(I35:I58)</f>
        <v>5.0364695460696296E-3</v>
      </c>
      <c r="V13" s="14">
        <f t="shared" si="0"/>
        <v>7.0968088223296741E-2</v>
      </c>
      <c r="W13" s="15">
        <f t="shared" si="5"/>
        <v>617.36331529313657</v>
      </c>
      <c r="X13" s="16">
        <f t="shared" si="2"/>
        <v>0.24584066903756088</v>
      </c>
      <c r="Z13" s="70">
        <f>SLOPE(I35:I58,O35:O58)</f>
        <v>0.78611707275731157</v>
      </c>
      <c r="AA13" s="71">
        <f t="shared" si="3"/>
        <v>0.13798528276642819</v>
      </c>
      <c r="AB13" s="71">
        <f t="shared" si="4"/>
        <v>-4.10548566120994E-5</v>
      </c>
      <c r="AC13" s="17"/>
      <c r="AE13" s="17"/>
      <c r="AF13" s="17"/>
      <c r="AG13" s="17"/>
    </row>
    <row r="14" spans="2:33" ht="16" x14ac:dyDescent="0.4">
      <c r="B14" s="75">
        <v>45170</v>
      </c>
      <c r="C14" s="76">
        <v>3512.33</v>
      </c>
      <c r="D14" s="76">
        <v>1091.5999999999999</v>
      </c>
      <c r="E14" s="76">
        <v>628.26</v>
      </c>
      <c r="F14" s="76">
        <v>866.13</v>
      </c>
      <c r="G14" s="76">
        <v>3672.5</v>
      </c>
      <c r="H14" s="76">
        <v>779.6</v>
      </c>
      <c r="I14" s="76">
        <v>1427.41</v>
      </c>
      <c r="J14" s="76">
        <v>951.9</v>
      </c>
      <c r="K14" s="76">
        <v>1540.25</v>
      </c>
      <c r="L14" s="112">
        <v>378.28</v>
      </c>
      <c r="M14" s="113">
        <v>1172.5</v>
      </c>
      <c r="N14" s="113">
        <v>1234.8</v>
      </c>
      <c r="O14" s="76">
        <v>19638.3</v>
      </c>
      <c r="Q14" s="106" t="s">
        <v>9</v>
      </c>
      <c r="R14" s="12">
        <v>0.16</v>
      </c>
      <c r="S14" s="13">
        <f>AVERAGE(J35:J58)</f>
        <v>1.9445536417136616E-2</v>
      </c>
      <c r="T14" s="14">
        <f t="shared" si="1"/>
        <v>0.2333464370056394</v>
      </c>
      <c r="U14" s="14">
        <f>_xlfn.VAR.S(J35:J58)</f>
        <v>1.0105877051592284E-3</v>
      </c>
      <c r="V14" s="14">
        <f t="shared" si="0"/>
        <v>3.1789742137350349E-2</v>
      </c>
      <c r="W14" s="15">
        <f t="shared" si="5"/>
        <v>163.48092156169707</v>
      </c>
      <c r="X14" s="16">
        <f t="shared" si="2"/>
        <v>0.11012289708280808</v>
      </c>
      <c r="Z14" s="70">
        <f>SLOPE(J35:J58,O35:O58)</f>
        <v>0.56440794939197592</v>
      </c>
      <c r="AA14" s="71">
        <f t="shared" si="3"/>
        <v>0.11599104135287178</v>
      </c>
      <c r="AB14" s="71">
        <f t="shared" si="4"/>
        <v>0.11735539565276762</v>
      </c>
      <c r="AC14" s="17"/>
      <c r="AE14" s="17"/>
      <c r="AF14" s="17"/>
      <c r="AG14" s="17"/>
    </row>
    <row r="15" spans="2:33" ht="16" x14ac:dyDescent="0.4">
      <c r="B15" s="75">
        <v>45200</v>
      </c>
      <c r="C15" s="76">
        <v>3353.21</v>
      </c>
      <c r="D15" s="76">
        <v>1019.35</v>
      </c>
      <c r="E15" s="76">
        <v>626.72</v>
      </c>
      <c r="F15" s="76">
        <v>889.45</v>
      </c>
      <c r="G15" s="76">
        <v>3330.95</v>
      </c>
      <c r="H15" s="76">
        <v>736.35</v>
      </c>
      <c r="I15" s="76">
        <v>1360.73</v>
      </c>
      <c r="J15" s="76">
        <v>915.35</v>
      </c>
      <c r="K15" s="76">
        <v>1569.55</v>
      </c>
      <c r="L15" s="112">
        <v>363.52</v>
      </c>
      <c r="M15" s="113">
        <v>1143.95</v>
      </c>
      <c r="N15" s="113">
        <v>1276</v>
      </c>
      <c r="O15" s="76">
        <v>19079.599999999999</v>
      </c>
      <c r="Q15" s="106" t="s">
        <v>10</v>
      </c>
      <c r="R15" s="12">
        <v>0.115</v>
      </c>
      <c r="S15" s="13">
        <f>AVERAGE(K35:K58)</f>
        <v>8.4354850074781929E-3</v>
      </c>
      <c r="T15" s="14">
        <f t="shared" si="1"/>
        <v>0.10122582008973832</v>
      </c>
      <c r="U15" s="14">
        <f>_xlfn.VAR.S(K35:K58)</f>
        <v>3.4302124983692419E-3</v>
      </c>
      <c r="V15" s="14">
        <f t="shared" si="0"/>
        <v>5.8568016001647537E-2</v>
      </c>
      <c r="W15" s="15">
        <f t="shared" si="5"/>
        <v>694.30525867482493</v>
      </c>
      <c r="X15" s="16">
        <f t="shared" si="2"/>
        <v>0.20288555882672107</v>
      </c>
      <c r="Z15" s="70">
        <f>SLOPE(K35:K58,O35:O58)</f>
        <v>1.1370987049766261</v>
      </c>
      <c r="AA15" s="71">
        <f t="shared" si="3"/>
        <v>0.1728037630958788</v>
      </c>
      <c r="AB15" s="71">
        <f t="shared" si="4"/>
        <v>-7.1577943006140482E-2</v>
      </c>
      <c r="AC15" s="17"/>
      <c r="AE15" s="17"/>
      <c r="AF15" s="19"/>
      <c r="AG15" s="19"/>
    </row>
    <row r="16" spans="2:33" ht="16" x14ac:dyDescent="0.35">
      <c r="B16" s="75">
        <v>45231</v>
      </c>
      <c r="C16" s="76">
        <v>3471.51</v>
      </c>
      <c r="D16" s="76">
        <v>1120.25</v>
      </c>
      <c r="E16" s="76">
        <v>704.23</v>
      </c>
      <c r="F16" s="76">
        <v>929.2</v>
      </c>
      <c r="G16" s="76">
        <v>3657.6</v>
      </c>
      <c r="H16" s="76">
        <v>801.1</v>
      </c>
      <c r="I16" s="76">
        <v>1446.99</v>
      </c>
      <c r="J16" s="76">
        <v>934.95</v>
      </c>
      <c r="K16" s="76">
        <v>1673.5</v>
      </c>
      <c r="L16" s="112">
        <v>442</v>
      </c>
      <c r="M16" s="113">
        <v>1188.72</v>
      </c>
      <c r="N16" s="113">
        <v>1340.9</v>
      </c>
      <c r="O16" s="76">
        <v>20133.150000000001</v>
      </c>
      <c r="Q16" s="109" t="s">
        <v>39</v>
      </c>
      <c r="R16" s="12">
        <v>4.4999999999999998E-2</v>
      </c>
      <c r="S16" s="13">
        <f>AVERAGE(L35:L58)</f>
        <v>4.8078085275173363E-2</v>
      </c>
      <c r="T16" s="14">
        <f t="shared" si="1"/>
        <v>0.5769370233020803</v>
      </c>
      <c r="U16" s="14">
        <f>_xlfn.VAR.S(L35:L58)</f>
        <v>5.6708078991938114E-3</v>
      </c>
      <c r="V16" s="14">
        <f>SQRT(U16)</f>
        <v>7.5304766776040227E-2</v>
      </c>
      <c r="W16" s="15">
        <f>V16/S16*100</f>
        <v>156.63012856072748</v>
      </c>
      <c r="X16" s="16">
        <f t="shared" si="2"/>
        <v>0.26086336421645284</v>
      </c>
      <c r="Z16" s="70">
        <f>SLOPE(L35:L58,O35:O58)</f>
        <v>0.75339686405767303</v>
      </c>
      <c r="AA16" s="71">
        <f t="shared" si="3"/>
        <v>0.13473933529111415</v>
      </c>
      <c r="AB16" s="71">
        <f t="shared" si="4"/>
        <v>0.44219768801096615</v>
      </c>
      <c r="AC16" s="17"/>
      <c r="AE16" s="20"/>
      <c r="AF16" s="2"/>
      <c r="AG16" s="2"/>
    </row>
    <row r="17" spans="2:33" ht="16" x14ac:dyDescent="0.35">
      <c r="B17" s="75">
        <v>45261</v>
      </c>
      <c r="C17" s="76">
        <v>3775.91</v>
      </c>
      <c r="D17" s="76">
        <v>1238.3499999999999</v>
      </c>
      <c r="E17" s="76">
        <v>777.55</v>
      </c>
      <c r="F17" s="76">
        <v>1073.46</v>
      </c>
      <c r="G17" s="76">
        <v>4024.7</v>
      </c>
      <c r="H17" s="76">
        <v>880.25</v>
      </c>
      <c r="I17" s="76">
        <v>1534.25</v>
      </c>
      <c r="J17" s="76">
        <v>996.6</v>
      </c>
      <c r="K17" s="76">
        <v>1685.8</v>
      </c>
      <c r="L17" s="112">
        <v>494.76</v>
      </c>
      <c r="M17" s="113">
        <v>1292.47</v>
      </c>
      <c r="N17" s="113">
        <v>1466.1</v>
      </c>
      <c r="O17" s="76">
        <v>21731.4</v>
      </c>
      <c r="Q17" s="110" t="s">
        <v>40</v>
      </c>
      <c r="R17" s="12">
        <v>0.08</v>
      </c>
      <c r="S17" s="13">
        <f>AVERAGE(M34:M57)</f>
        <v>6.9689346116299945E-3</v>
      </c>
      <c r="T17" s="14">
        <f>S17*12</f>
        <v>8.362721533955994E-2</v>
      </c>
      <c r="U17" s="14">
        <f>_xlfn.VAR.S(M34:M57)</f>
        <v>2.8657232998928195E-3</v>
      </c>
      <c r="V17" s="14">
        <f t="shared" ref="V17:V18" si="6">SQRT(U17)</f>
        <v>5.3532450904968096E-2</v>
      </c>
      <c r="W17" s="15">
        <f t="shared" ref="W17:W18" si="7">V17/S17*100</f>
        <v>768.1583181399252</v>
      </c>
      <c r="X17" s="16">
        <f>V17*SQRT(12)</f>
        <v>0.18544184964218252</v>
      </c>
      <c r="Z17" s="70">
        <f>SLOPE(M34:M57,O34:O57)</f>
        <v>1.1610043876653597</v>
      </c>
      <c r="AA17" s="71">
        <f t="shared" si="3"/>
        <v>0.17517528190498749</v>
      </c>
      <c r="AB17" s="71">
        <f t="shared" si="4"/>
        <v>-9.1548066565427549E-2</v>
      </c>
      <c r="AC17" s="17"/>
      <c r="AE17" s="20"/>
      <c r="AF17" s="21"/>
      <c r="AG17" s="21"/>
    </row>
    <row r="18" spans="2:33" ht="16" x14ac:dyDescent="0.35">
      <c r="B18" s="75">
        <v>45292</v>
      </c>
      <c r="C18" s="76">
        <v>3815.95</v>
      </c>
      <c r="D18" s="76">
        <v>1235</v>
      </c>
      <c r="E18" s="76">
        <v>881.48</v>
      </c>
      <c r="F18" s="76">
        <v>1104.27</v>
      </c>
      <c r="G18" s="76">
        <v>4142</v>
      </c>
      <c r="H18" s="76">
        <v>818.65</v>
      </c>
      <c r="I18" s="76">
        <v>1651.59</v>
      </c>
      <c r="J18" s="76">
        <v>1028.1500000000001</v>
      </c>
      <c r="K18" s="76">
        <v>1627.3</v>
      </c>
      <c r="L18" s="112">
        <v>512.16</v>
      </c>
      <c r="M18" s="113">
        <v>1426.63</v>
      </c>
      <c r="N18" s="113">
        <v>1576</v>
      </c>
      <c r="O18" s="76">
        <v>21725.7</v>
      </c>
      <c r="Q18" s="110" t="s">
        <v>41</v>
      </c>
      <c r="R18" s="22">
        <v>0.06</v>
      </c>
      <c r="S18" s="23">
        <f>AVERAGE(N34:N57)</f>
        <v>2.5141049368779009E-2</v>
      </c>
      <c r="T18" s="14">
        <f t="shared" si="1"/>
        <v>0.30169259242534813</v>
      </c>
      <c r="U18" s="14">
        <f>_xlfn.VAR.S(N34:N57)</f>
        <v>3.6072246381683788E-3</v>
      </c>
      <c r="V18" s="14">
        <f t="shared" si="6"/>
        <v>6.0060175142671528E-2</v>
      </c>
      <c r="W18" s="15">
        <f t="shared" si="7"/>
        <v>238.89287301291509</v>
      </c>
      <c r="X18" s="16">
        <f t="shared" si="2"/>
        <v>0.20805454971718484</v>
      </c>
      <c r="Z18" s="70">
        <f>SLOPE(N34:N57,O34:O57)</f>
        <v>0.61981473620199878</v>
      </c>
      <c r="AA18" s="71">
        <f t="shared" si="3"/>
        <v>0.12148756863398424</v>
      </c>
      <c r="AB18" s="71">
        <f t="shared" si="4"/>
        <v>0.18020502379136388</v>
      </c>
      <c r="AC18" s="17"/>
      <c r="AE18" s="20"/>
      <c r="AF18" s="21"/>
      <c r="AG18" s="21"/>
    </row>
    <row r="19" spans="2:33" x14ac:dyDescent="0.35">
      <c r="B19" s="75">
        <v>45323</v>
      </c>
      <c r="C19" s="76">
        <v>4095.1</v>
      </c>
      <c r="D19" s="76">
        <v>1151</v>
      </c>
      <c r="E19" s="76">
        <v>947.28</v>
      </c>
      <c r="F19" s="76">
        <v>1175.44</v>
      </c>
      <c r="G19" s="76">
        <v>4679.25</v>
      </c>
      <c r="H19" s="76">
        <v>800.1</v>
      </c>
      <c r="I19" s="76">
        <v>1664.52</v>
      </c>
      <c r="J19" s="76">
        <v>1052.2</v>
      </c>
      <c r="K19" s="76">
        <v>1593.8</v>
      </c>
      <c r="L19" s="112">
        <v>563.4</v>
      </c>
      <c r="M19" s="113">
        <v>1460.8</v>
      </c>
      <c r="N19" s="113">
        <v>1663.85</v>
      </c>
      <c r="O19" s="76">
        <v>21982.799999999999</v>
      </c>
      <c r="R19" s="24">
        <f>SUM(R7:R18)</f>
        <v>1</v>
      </c>
      <c r="AC19" s="19"/>
      <c r="AE19" s="25"/>
      <c r="AF19" s="21"/>
      <c r="AG19" s="21"/>
    </row>
    <row r="20" spans="2:33" x14ac:dyDescent="0.35">
      <c r="B20" s="75">
        <v>45352</v>
      </c>
      <c r="C20" s="76">
        <v>3876.3</v>
      </c>
      <c r="D20" s="76">
        <v>1129.5999999999999</v>
      </c>
      <c r="E20" s="76">
        <v>989.75</v>
      </c>
      <c r="F20" s="76">
        <v>1082.74</v>
      </c>
      <c r="G20" s="76">
        <v>5374.05</v>
      </c>
      <c r="H20" s="76">
        <v>830.2</v>
      </c>
      <c r="I20" s="76">
        <v>1489.66</v>
      </c>
      <c r="J20" s="76">
        <v>1093.3</v>
      </c>
      <c r="K20" s="76">
        <v>1643.85</v>
      </c>
      <c r="L20" s="112">
        <v>559.44000000000005</v>
      </c>
      <c r="M20" s="113">
        <v>1485.85</v>
      </c>
      <c r="N20" s="113">
        <v>1543.55</v>
      </c>
      <c r="O20" s="76">
        <v>22326.9</v>
      </c>
      <c r="AC20" s="21"/>
      <c r="AE20" s="26"/>
      <c r="AF20" s="21"/>
      <c r="AG20" s="21"/>
    </row>
    <row r="21" spans="2:33" x14ac:dyDescent="0.35">
      <c r="B21" s="75">
        <v>45383</v>
      </c>
      <c r="C21" s="76">
        <v>3820.65</v>
      </c>
      <c r="D21" s="76">
        <v>1271.2</v>
      </c>
      <c r="E21" s="76">
        <v>1004.8</v>
      </c>
      <c r="F21" s="76">
        <v>1094.74</v>
      </c>
      <c r="G21" s="76">
        <v>5841.7</v>
      </c>
      <c r="H21" s="76">
        <v>882.2</v>
      </c>
      <c r="I21" s="76">
        <v>1412.59</v>
      </c>
      <c r="J21" s="76">
        <v>1150.4000000000001</v>
      </c>
      <c r="K21" s="76">
        <v>1615</v>
      </c>
      <c r="L21" s="112">
        <v>591.78</v>
      </c>
      <c r="M21" s="113">
        <v>1467</v>
      </c>
      <c r="N21" s="113">
        <v>1366.6</v>
      </c>
      <c r="O21" s="76">
        <v>22604.85</v>
      </c>
      <c r="W21" s="1" t="s">
        <v>23</v>
      </c>
      <c r="AC21" s="21"/>
      <c r="AE21" s="26"/>
      <c r="AF21" s="21"/>
      <c r="AG21" s="21"/>
    </row>
    <row r="22" spans="2:33" ht="16" x14ac:dyDescent="0.4">
      <c r="B22" s="75">
        <v>45413</v>
      </c>
      <c r="C22" s="76">
        <v>3670.95</v>
      </c>
      <c r="D22" s="76">
        <v>1560.25</v>
      </c>
      <c r="E22" s="76">
        <v>920.16</v>
      </c>
      <c r="F22" s="76">
        <v>1047.23</v>
      </c>
      <c r="G22" s="76">
        <v>6974</v>
      </c>
      <c r="H22" s="76">
        <v>880.55</v>
      </c>
      <c r="I22" s="76">
        <v>1406.9</v>
      </c>
      <c r="J22" s="76">
        <v>1121.05</v>
      </c>
      <c r="K22" s="76">
        <v>1528.6</v>
      </c>
      <c r="L22" s="112">
        <v>570.72</v>
      </c>
      <c r="M22" s="113">
        <v>1430.4</v>
      </c>
      <c r="N22" s="113">
        <v>1324.1</v>
      </c>
      <c r="O22" s="76">
        <v>22530.7</v>
      </c>
      <c r="Q22" s="96" t="s">
        <v>24</v>
      </c>
      <c r="R22" s="97">
        <f>SUMPRODUCT(R7:R18,T7:T18)</f>
        <v>0.22834669581761058</v>
      </c>
      <c r="W22" s="1" t="s">
        <v>23</v>
      </c>
      <c r="AC22" s="21"/>
      <c r="AE22" s="26"/>
      <c r="AF22" s="17"/>
      <c r="AG22" s="17"/>
    </row>
    <row r="23" spans="2:33" x14ac:dyDescent="0.35">
      <c r="B23" s="75">
        <v>45444</v>
      </c>
      <c r="C23" s="76">
        <v>3904.15</v>
      </c>
      <c r="D23" s="76">
        <v>1670.35</v>
      </c>
      <c r="E23" s="76">
        <v>989.75</v>
      </c>
      <c r="F23" s="76">
        <v>1083.98</v>
      </c>
      <c r="G23" s="76">
        <v>7704.5</v>
      </c>
      <c r="H23" s="76">
        <v>931.5</v>
      </c>
      <c r="I23" s="76">
        <v>1566.75</v>
      </c>
      <c r="J23" s="76">
        <v>1199.5999999999999</v>
      </c>
      <c r="K23" s="76">
        <v>1588.15</v>
      </c>
      <c r="L23" s="112">
        <v>651.79999999999995</v>
      </c>
      <c r="M23" s="113">
        <v>1565.4</v>
      </c>
      <c r="N23" s="113">
        <v>1459.6</v>
      </c>
      <c r="O23" s="76">
        <v>24010.6</v>
      </c>
      <c r="Q23" s="59" t="s">
        <v>25</v>
      </c>
      <c r="R23" s="27">
        <f>SUMPRODUCT(R7:R18,Z7:Z18)</f>
        <v>1.0805317625963675</v>
      </c>
      <c r="AC23" s="17"/>
      <c r="AE23" s="26"/>
      <c r="AF23" s="17"/>
      <c r="AG23" s="17"/>
    </row>
    <row r="24" spans="2:33" ht="15" thickBot="1" x14ac:dyDescent="0.4">
      <c r="B24" s="75">
        <v>45474</v>
      </c>
      <c r="C24" s="76">
        <v>4385.3500000000004</v>
      </c>
      <c r="D24" s="76">
        <v>1733.5</v>
      </c>
      <c r="E24" s="76">
        <v>1156.6500000000001</v>
      </c>
      <c r="F24" s="76">
        <v>1188.95</v>
      </c>
      <c r="G24" s="76">
        <v>7132.9</v>
      </c>
      <c r="H24" s="76">
        <v>928.25</v>
      </c>
      <c r="I24" s="76">
        <v>1868.25</v>
      </c>
      <c r="J24" s="76">
        <v>1214.9000000000001</v>
      </c>
      <c r="K24" s="76">
        <v>1651.65</v>
      </c>
      <c r="L24" s="112">
        <v>630.96</v>
      </c>
      <c r="M24" s="113">
        <v>1505.43</v>
      </c>
      <c r="N24" s="113">
        <v>1642.6</v>
      </c>
      <c r="O24" s="76">
        <v>24951.15</v>
      </c>
      <c r="Q24" s="60" t="s">
        <v>34</v>
      </c>
      <c r="R24" s="28">
        <v>0.06</v>
      </c>
      <c r="AA24" s="1" t="s">
        <v>23</v>
      </c>
      <c r="AC24" s="17"/>
      <c r="AE24" s="26"/>
      <c r="AF24" s="29"/>
      <c r="AG24" s="17"/>
    </row>
    <row r="25" spans="2:33" ht="15" thickBot="1" x14ac:dyDescent="0.4">
      <c r="B25" s="75">
        <v>45505</v>
      </c>
      <c r="C25" s="76">
        <v>4553.75</v>
      </c>
      <c r="D25" s="76">
        <v>1587</v>
      </c>
      <c r="E25" s="76">
        <v>1111.3499999999999</v>
      </c>
      <c r="F25" s="76">
        <v>1200.1500000000001</v>
      </c>
      <c r="G25" s="76">
        <v>6893.1</v>
      </c>
      <c r="H25" s="76">
        <v>941.1</v>
      </c>
      <c r="I25" s="76">
        <v>1943.7</v>
      </c>
      <c r="J25" s="76">
        <v>1229.2</v>
      </c>
      <c r="K25" s="76">
        <v>1783.05</v>
      </c>
      <c r="L25" s="112">
        <v>600.36</v>
      </c>
      <c r="M25" s="113">
        <v>1509.63</v>
      </c>
      <c r="N25" s="113">
        <v>1753.25</v>
      </c>
      <c r="O25" s="76">
        <v>25235.9</v>
      </c>
      <c r="Q25" s="98" t="s">
        <v>33</v>
      </c>
      <c r="R25" s="99">
        <f>R24+(T6-R24)*R23</f>
        <v>0.16719214473821647</v>
      </c>
      <c r="AC25" s="30"/>
      <c r="AE25" s="17"/>
      <c r="AF25" s="31"/>
      <c r="AG25" s="17"/>
    </row>
    <row r="26" spans="2:33" ht="16.25" customHeight="1" x14ac:dyDescent="0.35">
      <c r="B26" s="75">
        <v>45536</v>
      </c>
      <c r="C26" s="76">
        <v>4268.5</v>
      </c>
      <c r="D26" s="76">
        <v>1516.6</v>
      </c>
      <c r="E26" s="76">
        <v>974.65</v>
      </c>
      <c r="F26" s="76">
        <v>1196.95</v>
      </c>
      <c r="G26" s="76">
        <v>7250</v>
      </c>
      <c r="H26" s="76">
        <v>1030.05</v>
      </c>
      <c r="I26" s="76">
        <v>1875.6</v>
      </c>
      <c r="J26" s="76">
        <v>1273</v>
      </c>
      <c r="K26" s="76">
        <v>1973.4</v>
      </c>
      <c r="L26" s="112">
        <v>606.29999999999995</v>
      </c>
      <c r="M26" s="113">
        <v>1476.57</v>
      </c>
      <c r="N26" s="113">
        <v>1796.1</v>
      </c>
      <c r="O26" s="76">
        <v>25810.85</v>
      </c>
      <c r="AC26" s="30"/>
      <c r="AE26" s="17"/>
      <c r="AF26" s="31"/>
      <c r="AG26" s="17"/>
    </row>
    <row r="27" spans="2:33" x14ac:dyDescent="0.35">
      <c r="B27" s="75">
        <v>45566</v>
      </c>
      <c r="C27" s="76">
        <v>3906.18</v>
      </c>
      <c r="D27" s="76">
        <v>1410.15</v>
      </c>
      <c r="E27" s="76">
        <v>834.05</v>
      </c>
      <c r="F27" s="76">
        <v>1002.55</v>
      </c>
      <c r="G27" s="76">
        <v>6976.3</v>
      </c>
      <c r="H27" s="76">
        <v>963.65</v>
      </c>
      <c r="I27" s="76">
        <v>1757.25</v>
      </c>
      <c r="J27" s="76">
        <v>1292.25</v>
      </c>
      <c r="K27" s="76">
        <v>1750.75</v>
      </c>
      <c r="L27" s="112">
        <v>597.75</v>
      </c>
      <c r="M27" s="113">
        <v>1332.05</v>
      </c>
      <c r="N27" s="113">
        <v>1760.14</v>
      </c>
      <c r="O27" s="76">
        <v>24205.35</v>
      </c>
      <c r="AC27" s="3"/>
      <c r="AE27" s="30"/>
      <c r="AF27" s="31"/>
      <c r="AG27" s="17"/>
    </row>
    <row r="28" spans="2:33" ht="16" x14ac:dyDescent="0.4">
      <c r="B28" s="75">
        <v>45597</v>
      </c>
      <c r="C28" s="76">
        <v>4203.84</v>
      </c>
      <c r="D28" s="76">
        <v>1332.25</v>
      </c>
      <c r="E28" s="76">
        <v>786.45</v>
      </c>
      <c r="F28" s="76">
        <v>958.65</v>
      </c>
      <c r="G28" s="76">
        <v>7560.85</v>
      </c>
      <c r="H28" s="76">
        <v>966</v>
      </c>
      <c r="I28" s="76">
        <v>1857.85</v>
      </c>
      <c r="J28" s="76">
        <v>1300.0999999999999</v>
      </c>
      <c r="K28" s="76">
        <v>1579.95</v>
      </c>
      <c r="L28" s="112">
        <v>621.20000000000005</v>
      </c>
      <c r="M28" s="113">
        <v>1292.2</v>
      </c>
      <c r="N28" s="113">
        <v>1841.86</v>
      </c>
      <c r="O28" s="76">
        <v>24131.1</v>
      </c>
      <c r="Q28" s="100" t="s">
        <v>26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E28" s="3"/>
      <c r="AF28" s="31"/>
      <c r="AG28" s="17"/>
    </row>
    <row r="29" spans="2:33" x14ac:dyDescent="0.35">
      <c r="B29" s="75">
        <v>45627</v>
      </c>
      <c r="C29" s="76">
        <v>4030.55</v>
      </c>
      <c r="D29" s="76">
        <v>1299.5</v>
      </c>
      <c r="E29" s="76">
        <v>740.15</v>
      </c>
      <c r="F29" s="76">
        <v>914.7</v>
      </c>
      <c r="G29" s="76">
        <v>6536.05</v>
      </c>
      <c r="H29" s="76">
        <v>901.5</v>
      </c>
      <c r="I29" s="76">
        <v>1880</v>
      </c>
      <c r="J29" s="76">
        <v>1281.6500000000001</v>
      </c>
      <c r="K29" s="76">
        <v>1568.1</v>
      </c>
      <c r="L29" s="112">
        <v>638.5</v>
      </c>
      <c r="M29" s="113">
        <v>1215.45</v>
      </c>
      <c r="N29" s="113">
        <v>1910.98</v>
      </c>
      <c r="O29" s="76">
        <v>23644.799999999999</v>
      </c>
      <c r="Q29" s="64"/>
      <c r="R29" s="67" t="str">
        <f t="array" ref="R29:AC29">TRANSPOSE(Q30:Q41)</f>
        <v>Tata Consultancy Services Ltd.</v>
      </c>
      <c r="S29" s="67" t="str">
        <v>Bharat Forge Ltd</v>
      </c>
      <c r="T29" s="67" t="str">
        <v>Tata Motors Ltd</v>
      </c>
      <c r="U29" s="67" t="str">
        <v>Tata Consumer Products Ltd</v>
      </c>
      <c r="V29" s="67" t="str">
        <v>Siemens Ltd</v>
      </c>
      <c r="W29" s="67" t="str">
        <v>JSW Steel Ltd</v>
      </c>
      <c r="X29" s="67" t="str">
        <v>Infosys Ltd</v>
      </c>
      <c r="Y29" s="67" t="str">
        <v>ICICI Bank Ltd</v>
      </c>
      <c r="Z29" s="67" t="str">
        <v>Bajaj Finserv Ltd</v>
      </c>
      <c r="AA29" s="67" t="str">
        <v>Varun Beverages Ltd </v>
      </c>
      <c r="AB29" s="67" t="str">
        <v>Reliance Industries ltd</v>
      </c>
      <c r="AC29" s="67" t="str">
        <v>HCL Technologies</v>
      </c>
      <c r="AE29" s="3"/>
      <c r="AF29" s="31"/>
      <c r="AG29" s="17"/>
    </row>
    <row r="30" spans="2:33" x14ac:dyDescent="0.35">
      <c r="B30" s="32"/>
      <c r="C30" s="33"/>
      <c r="D30" s="33"/>
      <c r="E30" s="33"/>
      <c r="F30" s="33"/>
      <c r="G30" s="33"/>
      <c r="J30" s="33"/>
      <c r="K30" s="33"/>
      <c r="L30" s="33"/>
      <c r="M30" s="33"/>
      <c r="Q30" s="65" t="s">
        <v>2</v>
      </c>
      <c r="R30" s="83">
        <f>_xlfn.COVARIANCE.S($C$34:$C$2230,C$34:C$2230)</f>
        <v>2.922996511033464E-3</v>
      </c>
      <c r="S30" s="34"/>
      <c r="T30" s="34"/>
      <c r="U30" s="34"/>
      <c r="V30" s="34"/>
      <c r="W30" s="34"/>
      <c r="X30" s="34"/>
      <c r="Y30" s="34"/>
      <c r="Z30" s="34"/>
      <c r="AA30" s="34"/>
      <c r="AC30" s="3"/>
      <c r="AE30" s="3"/>
      <c r="AF30" s="31"/>
      <c r="AG30" s="17"/>
    </row>
    <row r="31" spans="2:33" x14ac:dyDescent="0.35">
      <c r="B31" s="32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Q31" s="65" t="s">
        <v>3</v>
      </c>
      <c r="R31" s="36">
        <f>_xlfn.COVARIANCE.S($D$34:$D$2230,C$34:C$2230)</f>
        <v>5.9177113918463696E-4</v>
      </c>
      <c r="S31" s="83">
        <f>_xlfn.COVARIANCE.S($D$34:$D$2230,D$34:D$2230)</f>
        <v>7.2714111215081449E-3</v>
      </c>
      <c r="T31" s="37"/>
      <c r="U31" s="38"/>
      <c r="V31" s="37"/>
      <c r="W31" s="37"/>
      <c r="X31" s="37"/>
      <c r="Y31" s="37"/>
      <c r="Z31" s="37"/>
      <c r="AA31" s="37"/>
      <c r="AC31" s="3"/>
      <c r="AE31" s="3"/>
      <c r="AF31" s="31"/>
      <c r="AG31" s="17"/>
    </row>
    <row r="32" spans="2:33" x14ac:dyDescent="0.35">
      <c r="Q32" s="65" t="s">
        <v>4</v>
      </c>
      <c r="R32" s="36">
        <f>_xlfn.COVARIANCE.S($E$34:$E$2230,C$34:C$2230)</f>
        <v>3.1029659263769262E-3</v>
      </c>
      <c r="S32" s="36">
        <f>_xlfn.COVARIANCE.S($E$34:$E$2230,D$34:D$2230)</f>
        <v>1.8259833813362443E-3</v>
      </c>
      <c r="T32" s="83">
        <f>_xlfn.COVARIANCE.S($E$34:$E$2230,E$34:E$2230)</f>
        <v>8.5507657535069965E-3</v>
      </c>
      <c r="U32" s="38"/>
      <c r="V32" s="37"/>
      <c r="W32" s="37"/>
      <c r="X32" s="37"/>
      <c r="Y32" s="37"/>
      <c r="Z32" s="37"/>
      <c r="AA32" s="37"/>
      <c r="AC32" s="3"/>
      <c r="AE32" s="3"/>
      <c r="AF32" s="31"/>
      <c r="AG32" s="17"/>
    </row>
    <row r="33" spans="2:33" ht="16" x14ac:dyDescent="0.4">
      <c r="B33" s="92" t="s">
        <v>1</v>
      </c>
      <c r="C33" s="93" t="s">
        <v>2</v>
      </c>
      <c r="D33" s="93" t="s">
        <v>3</v>
      </c>
      <c r="E33" s="93" t="s">
        <v>4</v>
      </c>
      <c r="F33" s="93" t="s">
        <v>5</v>
      </c>
      <c r="G33" s="93" t="s">
        <v>6</v>
      </c>
      <c r="H33" s="93" t="s">
        <v>7</v>
      </c>
      <c r="I33" s="93" t="s">
        <v>8</v>
      </c>
      <c r="J33" s="93" t="s">
        <v>9</v>
      </c>
      <c r="K33" s="93" t="s">
        <v>10</v>
      </c>
      <c r="L33" s="108" t="s">
        <v>39</v>
      </c>
      <c r="M33" s="93" t="s">
        <v>40</v>
      </c>
      <c r="N33" s="93" t="s">
        <v>41</v>
      </c>
      <c r="O33" s="93" t="s">
        <v>13</v>
      </c>
      <c r="Q33" s="65" t="s">
        <v>5</v>
      </c>
      <c r="R33" s="36">
        <f>_xlfn.COVARIANCE.S($F$34:$F$2230,C$34:C$2230)</f>
        <v>2.4679549911931975E-3</v>
      </c>
      <c r="S33" s="36">
        <f>_xlfn.COVARIANCE.S($F$34:$F$2230,D$34:D$2230)</f>
        <v>1.2394570921998825E-3</v>
      </c>
      <c r="T33" s="36">
        <f>_xlfn.COVARIANCE.S($F$34:$F$2230,E$34:E$2230)</f>
        <v>4.6487718674004747E-3</v>
      </c>
      <c r="U33" s="83">
        <f>_xlfn.COVARIANCE.S($F$34:$F$2230,F$34:F$2230)</f>
        <v>4.3452839633811588E-3</v>
      </c>
      <c r="V33" s="37"/>
      <c r="W33" s="37"/>
      <c r="X33" s="37"/>
      <c r="Y33" s="37"/>
      <c r="Z33" s="37"/>
      <c r="AA33" s="37"/>
      <c r="AC33" s="3"/>
      <c r="AE33" s="3"/>
      <c r="AF33" s="31"/>
      <c r="AG33" s="17"/>
    </row>
    <row r="34" spans="2:33" x14ac:dyDescent="0.35">
      <c r="B34" s="75">
        <v>44927</v>
      </c>
      <c r="C34" s="78" t="s">
        <v>22</v>
      </c>
      <c r="D34" s="78" t="s">
        <v>22</v>
      </c>
      <c r="E34" s="78" t="s">
        <v>22</v>
      </c>
      <c r="F34" s="78" t="s">
        <v>22</v>
      </c>
      <c r="G34" s="78" t="s">
        <v>22</v>
      </c>
      <c r="H34" s="78" t="s">
        <v>22</v>
      </c>
      <c r="I34" s="78" t="s">
        <v>22</v>
      </c>
      <c r="J34" s="78" t="s">
        <v>22</v>
      </c>
      <c r="K34" s="78" t="s">
        <v>22</v>
      </c>
      <c r="L34" s="78" t="s">
        <v>22</v>
      </c>
      <c r="M34" s="78" t="s">
        <v>22</v>
      </c>
      <c r="N34" s="78" t="s">
        <v>22</v>
      </c>
      <c r="O34" s="78" t="s">
        <v>22</v>
      </c>
      <c r="Q34" s="65" t="s">
        <v>6</v>
      </c>
      <c r="R34" s="39">
        <f>_xlfn.COVARIANCE.S($G$34:$G$2230,C$34:C$2230)</f>
        <v>3.1721711341590938E-4</v>
      </c>
      <c r="S34" s="39">
        <f>_xlfn.COVARIANCE.S($G$34:$G$2230,D$34:D$2230)</f>
        <v>2.5756127721574431E-3</v>
      </c>
      <c r="T34" s="39">
        <f>_xlfn.COVARIANCE.S($G$34:$G$2230,E$34:E$2230)</f>
        <v>6.8664626140335671E-4</v>
      </c>
      <c r="U34" s="39">
        <f>_xlfn.COVARIANCE.S($G$34:$G$2230,F$34:F$2230)</f>
        <v>2.1302449182635517E-4</v>
      </c>
      <c r="V34" s="82">
        <f>_xlfn.COVARIANCE.S($G$34:$G$2230,G$34:G$2230)</f>
        <v>6.8971757098040118E-3</v>
      </c>
      <c r="W34" s="37"/>
      <c r="X34" s="37"/>
      <c r="Y34" s="37"/>
      <c r="Z34" s="37"/>
      <c r="AA34" s="37"/>
      <c r="AC34" s="3"/>
      <c r="AE34" s="3"/>
      <c r="AF34" s="17"/>
      <c r="AG34" s="17"/>
    </row>
    <row r="35" spans="2:33" x14ac:dyDescent="0.35">
      <c r="B35" s="75">
        <v>44958</v>
      </c>
      <c r="C35" s="79">
        <f>C7/C6-1</f>
        <v>-1.3651550455998862E-2</v>
      </c>
      <c r="D35" s="79">
        <f>D7/D6-1</f>
        <v>-6.6468367463676903E-2</v>
      </c>
      <c r="E35" s="79">
        <f>'[1]PORTFOLIO-1'!E8/'[1]PORTFOLIO-1'!E7-1</f>
        <v>-6.9445985223314244E-2</v>
      </c>
      <c r="F35" s="79">
        <f t="shared" ref="F35:O35" si="8">F7/F6-1</f>
        <v>-1.9457629000471877E-2</v>
      </c>
      <c r="G35" s="79">
        <f t="shared" si="8"/>
        <v>0.10939875958926337</v>
      </c>
      <c r="H35" s="79">
        <f t="shared" si="8"/>
        <v>-6.8741712610789318E-2</v>
      </c>
      <c r="I35" s="79">
        <f t="shared" si="8"/>
        <v>-3.0127986571900633E-2</v>
      </c>
      <c r="J35" s="79">
        <f t="shared" si="8"/>
        <v>2.7587450414713333E-2</v>
      </c>
      <c r="K35" s="79">
        <f t="shared" si="8"/>
        <v>-5.6240455882899942E-3</v>
      </c>
      <c r="L35" s="79">
        <f t="shared" si="8"/>
        <v>0.13478735005452558</v>
      </c>
      <c r="M35" s="79">
        <f t="shared" si="8"/>
        <v>-1.3299266247379538E-2</v>
      </c>
      <c r="N35" s="79">
        <f t="shared" si="8"/>
        <v>-3.9743361254678478E-2</v>
      </c>
      <c r="O35" s="79">
        <f t="shared" si="8"/>
        <v>-2.0280656658447582E-2</v>
      </c>
      <c r="Q35" s="65" t="s">
        <v>7</v>
      </c>
      <c r="R35" s="39">
        <f>_xlfn.COVARIANCE.S($H$34:$H$2230,C$34:C$2230)</f>
        <v>6.7417946715561834E-4</v>
      </c>
      <c r="S35" s="39">
        <f>_xlfn.COVARIANCE.S($H$34:$H$2230,D$34:D$2230)</f>
        <v>1.8595976151470877E-3</v>
      </c>
      <c r="T35" s="39">
        <f t="shared" ref="T35:W35" si="9">_xlfn.COVARIANCE.S($H$34:$H$2230,E$34:E$2230)</f>
        <v>1.9773250598737286E-3</v>
      </c>
      <c r="U35" s="39">
        <f t="shared" si="9"/>
        <v>1.7410366696917568E-3</v>
      </c>
      <c r="V35" s="39">
        <f t="shared" si="9"/>
        <v>2.0975620062927765E-3</v>
      </c>
      <c r="W35" s="82">
        <f t="shared" si="9"/>
        <v>3.6074904526718081E-3</v>
      </c>
      <c r="X35" s="37"/>
      <c r="Y35" s="37"/>
      <c r="Z35" s="37"/>
      <c r="AA35" s="37"/>
      <c r="AC35" s="19"/>
      <c r="AE35" s="3"/>
      <c r="AF35" s="17"/>
      <c r="AG35" s="17"/>
    </row>
    <row r="36" spans="2:33" x14ac:dyDescent="0.35">
      <c r="B36" s="75">
        <v>44986</v>
      </c>
      <c r="C36" s="79">
        <f t="shared" ref="C36:D57" si="10">C8/C7-1</f>
        <v>-3.2284379103400429E-2</v>
      </c>
      <c r="D36" s="79">
        <f t="shared" si="10"/>
        <v>-5.5821078431372517E-2</v>
      </c>
      <c r="E36" s="79">
        <f>'[1]PORTFOLIO-1'!E9/'[1]PORTFOLIO-1'!E8-1</f>
        <v>2.384301757230034E-4</v>
      </c>
      <c r="F36" s="79">
        <f t="shared" ref="F36:O57" si="11">F8/F7-1</f>
        <v>-9.0160221932854556E-3</v>
      </c>
      <c r="G36" s="79">
        <f t="shared" si="11"/>
        <v>2.4810571058954123E-2</v>
      </c>
      <c r="H36" s="79">
        <f t="shared" si="11"/>
        <v>3.1324940047961602E-2</v>
      </c>
      <c r="I36" s="79">
        <f t="shared" si="11"/>
        <v>-4.0061924946424132E-2</v>
      </c>
      <c r="J36" s="79">
        <f t="shared" si="11"/>
        <v>2.6203427501900967E-2</v>
      </c>
      <c r="K36" s="79">
        <f t="shared" si="11"/>
        <v>-5.1239793242939591E-2</v>
      </c>
      <c r="L36" s="79">
        <f t="shared" si="11"/>
        <v>6.6307899288871708E-2</v>
      </c>
      <c r="M36" s="79">
        <f t="shared" si="11"/>
        <v>3.6613011847062005E-3</v>
      </c>
      <c r="N36" s="79">
        <f t="shared" si="11"/>
        <v>7.099109131403214E-3</v>
      </c>
      <c r="O36" s="79">
        <f t="shared" si="11"/>
        <v>3.2246972512055549E-3</v>
      </c>
      <c r="Q36" s="65" t="s">
        <v>8</v>
      </c>
      <c r="R36" s="39">
        <f>_xlfn.COVARIANCE.S($I$34:$I$2230,C$34:C$2230)</f>
        <v>2.7611238247914386E-3</v>
      </c>
      <c r="S36" s="39">
        <f>_xlfn.COVARIANCE.S($I$34:$I$2230,D$34:D$2230)</f>
        <v>1.2894565710055864E-3</v>
      </c>
      <c r="T36" s="39">
        <f t="shared" ref="T36:X36" si="12">_xlfn.COVARIANCE.S($I$34:$I$2230,E$34:E$2230)</f>
        <v>2.2178644502764654E-3</v>
      </c>
      <c r="U36" s="39">
        <f t="shared" si="12"/>
        <v>1.8906796158033466E-3</v>
      </c>
      <c r="V36" s="39">
        <f t="shared" si="12"/>
        <v>-8.0752622326050766E-4</v>
      </c>
      <c r="W36" s="39">
        <f t="shared" si="12"/>
        <v>-1.5631269129859866E-4</v>
      </c>
      <c r="X36" s="82">
        <f t="shared" si="12"/>
        <v>5.0364695460696288E-3</v>
      </c>
      <c r="Y36" s="37"/>
      <c r="Z36" s="37"/>
      <c r="AA36" s="37"/>
      <c r="AC36" s="17"/>
      <c r="AE36" s="3"/>
      <c r="AF36" s="17"/>
      <c r="AG36" s="17"/>
    </row>
    <row r="37" spans="2:33" x14ac:dyDescent="0.35">
      <c r="B37" s="75">
        <v>45017</v>
      </c>
      <c r="C37" s="79">
        <f t="shared" si="10"/>
        <v>4.1646950434175434E-3</v>
      </c>
      <c r="D37" s="79">
        <f t="shared" si="10"/>
        <v>4.0106431306379253E-2</v>
      </c>
      <c r="E37" s="79">
        <f>'[1]PORTFOLIO-1'!E10/'[1]PORTFOLIO-1'!E9-1</f>
        <v>0.15243975113823272</v>
      </c>
      <c r="F37" s="79">
        <f t="shared" si="11"/>
        <v>7.7583374991073484E-2</v>
      </c>
      <c r="G37" s="79">
        <f t="shared" si="11"/>
        <v>3.6803270065972393E-2</v>
      </c>
      <c r="H37" s="79">
        <f t="shared" si="11"/>
        <v>5.4061909606161862E-2</v>
      </c>
      <c r="I37" s="79">
        <f t="shared" si="11"/>
        <v>-0.12269446107257298</v>
      </c>
      <c r="J37" s="79">
        <f t="shared" si="11"/>
        <v>4.6053006554573894E-2</v>
      </c>
      <c r="K37" s="79">
        <f t="shared" si="11"/>
        <v>6.9601263324121643E-2</v>
      </c>
      <c r="L37" s="79">
        <f t="shared" si="11"/>
        <v>4.1961067051189849E-2</v>
      </c>
      <c r="M37" s="79">
        <f t="shared" si="11"/>
        <v>3.8379027151673073E-2</v>
      </c>
      <c r="N37" s="79">
        <f t="shared" si="11"/>
        <v>-1.9488597097443106E-2</v>
      </c>
      <c r="O37" s="79">
        <f t="shared" si="11"/>
        <v>4.0625585045867663E-2</v>
      </c>
      <c r="Q37" s="65" t="s">
        <v>9</v>
      </c>
      <c r="R37" s="36">
        <f>_xlfn.COVARIANCE.S($J$34:$J$2230,C$34:C$2230)</f>
        <v>4.877133028343498E-4</v>
      </c>
      <c r="S37" s="36">
        <f>_xlfn.COVARIANCE.S($J$34:$J$2230,D$34:D$2230)</f>
        <v>6.3664631596969636E-5</v>
      </c>
      <c r="T37" s="36">
        <f t="shared" ref="T37:Y37" si="13">_xlfn.COVARIANCE.S($J$34:$J$2230,E$34:E$2230)</f>
        <v>1.0702062599669236E-3</v>
      </c>
      <c r="U37" s="36">
        <f t="shared" si="13"/>
        <v>5.0202168010625816E-4</v>
      </c>
      <c r="V37" s="36">
        <f t="shared" si="13"/>
        <v>1.1102381495748223E-3</v>
      </c>
      <c r="W37" s="36">
        <f t="shared" si="13"/>
        <v>7.9628767408817744E-4</v>
      </c>
      <c r="X37" s="36">
        <f t="shared" si="13"/>
        <v>-2.1860955035394769E-5</v>
      </c>
      <c r="Y37" s="83">
        <f t="shared" si="13"/>
        <v>1.0105877051592282E-3</v>
      </c>
      <c r="Z37" s="37"/>
      <c r="AA37" s="37"/>
      <c r="AC37" s="17"/>
      <c r="AE37" s="19"/>
      <c r="AF37" s="17"/>
      <c r="AG37" s="17"/>
    </row>
    <row r="38" spans="2:33" x14ac:dyDescent="0.35">
      <c r="B38" s="75">
        <v>45047</v>
      </c>
      <c r="C38" s="79">
        <f t="shared" si="10"/>
        <v>2.1823118212457748E-2</v>
      </c>
      <c r="D38" s="79">
        <f t="shared" si="10"/>
        <v>-1.2541336494665378E-2</v>
      </c>
      <c r="E38" s="79">
        <f>'[1]PORTFOLIO-1'!E11/'[1]PORTFOLIO-1'!E10-1</f>
        <v>8.5260414512058791E-2</v>
      </c>
      <c r="F38" s="79">
        <f t="shared" si="11"/>
        <v>4.5555157925431189E-2</v>
      </c>
      <c r="G38" s="79">
        <f t="shared" si="11"/>
        <v>2.9583140074211478E-2</v>
      </c>
      <c r="H38" s="79">
        <f t="shared" si="11"/>
        <v>-3.9983455122018507E-2</v>
      </c>
      <c r="I38" s="79">
        <f t="shared" si="11"/>
        <v>5.2322734460918507E-2</v>
      </c>
      <c r="J38" s="79">
        <f t="shared" si="11"/>
        <v>3.4326813055086447E-2</v>
      </c>
      <c r="K38" s="79">
        <f t="shared" si="11"/>
        <v>7.1162292843169661E-2</v>
      </c>
      <c r="L38" s="79">
        <f t="shared" si="11"/>
        <v>0.17246747854968159</v>
      </c>
      <c r="M38" s="79">
        <f t="shared" si="11"/>
        <v>2.0405191401059453E-2</v>
      </c>
      <c r="N38" s="79">
        <f t="shared" si="11"/>
        <v>7.6120665351000927E-2</v>
      </c>
      <c r="O38" s="79">
        <f t="shared" si="11"/>
        <v>2.5983946858566309E-2</v>
      </c>
      <c r="Q38" s="65" t="s">
        <v>10</v>
      </c>
      <c r="R38" s="39">
        <f>_xlfn.COVARIANCE.S($K$34:$K$2230,C$34:C$2230)</f>
        <v>6.2663750022959428E-4</v>
      </c>
      <c r="S38" s="39">
        <f>_xlfn.COVARIANCE.S($K$34:$K$2230,D$34:D$2230)</f>
        <v>-5.6357291070570901E-5</v>
      </c>
      <c r="T38" s="39">
        <f t="shared" ref="T38:Z38" si="14">_xlfn.COVARIANCE.S($K$34:$K$2230,E$34:E$2230)</f>
        <v>2.416739087451417E-3</v>
      </c>
      <c r="U38" s="39">
        <f t="shared" si="14"/>
        <v>2.0527650803618428E-3</v>
      </c>
      <c r="V38" s="39">
        <f t="shared" si="14"/>
        <v>-2.0126594469879161E-4</v>
      </c>
      <c r="W38" s="39">
        <f t="shared" si="14"/>
        <v>1.7525444706460482E-3</v>
      </c>
      <c r="X38" s="39">
        <f t="shared" si="14"/>
        <v>1.9713734110347501E-4</v>
      </c>
      <c r="Y38" s="39">
        <f t="shared" si="14"/>
        <v>5.5548308193350778E-4</v>
      </c>
      <c r="Z38" s="82">
        <f t="shared" si="14"/>
        <v>3.4302124983692419E-3</v>
      </c>
      <c r="AA38" s="37"/>
      <c r="AC38" s="40"/>
      <c r="AE38" s="17"/>
      <c r="AF38" s="17"/>
      <c r="AG38" s="17"/>
    </row>
    <row r="39" spans="2:33" ht="16" x14ac:dyDescent="0.35">
      <c r="B39" s="75">
        <v>45078</v>
      </c>
      <c r="C39" s="79">
        <f t="shared" si="10"/>
        <v>3.8756020315606765E-3</v>
      </c>
      <c r="D39" s="79">
        <f t="shared" si="10"/>
        <v>5.7500315935801849E-2</v>
      </c>
      <c r="E39" s="79">
        <f>'[1]PORTFOLIO-1'!E12/'[1]PORTFOLIO-1'!E11-1</f>
        <v>0.13158496607455983</v>
      </c>
      <c r="F39" s="79">
        <f t="shared" si="11"/>
        <v>7.7949901120632825E-2</v>
      </c>
      <c r="G39" s="79">
        <f t="shared" si="11"/>
        <v>6.0478932327228119E-2</v>
      </c>
      <c r="H39" s="79">
        <f t="shared" si="11"/>
        <v>0.12710038776389498</v>
      </c>
      <c r="I39" s="79">
        <f t="shared" si="11"/>
        <v>1.3052002044381394E-2</v>
      </c>
      <c r="J39" s="79">
        <f t="shared" si="11"/>
        <v>-1.5329505346889261E-2</v>
      </c>
      <c r="K39" s="79">
        <f t="shared" si="11"/>
        <v>5.3030564074290965E-2</v>
      </c>
      <c r="L39" s="79">
        <f t="shared" si="11"/>
        <v>-5.2730974652542173E-2</v>
      </c>
      <c r="M39" s="79">
        <f t="shared" si="11"/>
        <v>3.2528809447358142E-2</v>
      </c>
      <c r="N39" s="79">
        <f t="shared" si="11"/>
        <v>3.7420312636451181E-2</v>
      </c>
      <c r="O39" s="79">
        <f t="shared" si="11"/>
        <v>3.5320808874309328E-2</v>
      </c>
      <c r="Q39" s="109" t="s">
        <v>39</v>
      </c>
      <c r="R39" s="41">
        <f>_xlfn.COVARIANCE.S($L$34:$L$2230,C$34:C$2230)</f>
        <v>1.0821016474770596E-3</v>
      </c>
      <c r="S39" s="41">
        <f>_xlfn.COVARIANCE.S($L$34:$L$2230,D$34:D$2230)</f>
        <v>8.8128832851805741E-4</v>
      </c>
      <c r="T39" s="41">
        <f t="shared" ref="T39:AA39" si="15">_xlfn.COVARIANCE.S($L$34:$L$2230,E$34:E$2230)</f>
        <v>1.3687089273693729E-3</v>
      </c>
      <c r="U39" s="41">
        <f t="shared" si="15"/>
        <v>1.2334695720585397E-3</v>
      </c>
      <c r="V39" s="41">
        <f t="shared" si="15"/>
        <v>1.7867082634329433E-3</v>
      </c>
      <c r="W39" s="41">
        <f t="shared" si="15"/>
        <v>1.1829994851952082E-4</v>
      </c>
      <c r="X39" s="41">
        <f t="shared" si="15"/>
        <v>1.1804743971972683E-3</v>
      </c>
      <c r="Y39" s="41">
        <f t="shared" si="15"/>
        <v>8.0803118115421832E-4</v>
      </c>
      <c r="Z39" s="41">
        <f t="shared" si="15"/>
        <v>1.6044778329318352E-4</v>
      </c>
      <c r="AA39" s="82">
        <f t="shared" si="15"/>
        <v>5.6708078991938122E-3</v>
      </c>
      <c r="AC39" s="42"/>
      <c r="AE39" s="17"/>
      <c r="AF39" s="17"/>
      <c r="AG39" s="17"/>
    </row>
    <row r="40" spans="2:33" ht="16" x14ac:dyDescent="0.35">
      <c r="B40" s="75">
        <v>45108</v>
      </c>
      <c r="C40" s="79">
        <f t="shared" si="10"/>
        <v>3.6096525120017597E-2</v>
      </c>
      <c r="D40" s="79">
        <f t="shared" si="10"/>
        <v>0.1131094646271511</v>
      </c>
      <c r="E40" s="79">
        <f>'[1]PORTFOLIO-1'!E13/'[1]PORTFOLIO-1'!E12-1</f>
        <v>8.1856767499831617E-2</v>
      </c>
      <c r="F40" s="79">
        <f t="shared" si="11"/>
        <v>-1.8581021485776228E-3</v>
      </c>
      <c r="G40" s="79">
        <f t="shared" si="11"/>
        <v>5.7494457645793862E-2</v>
      </c>
      <c r="H40" s="79">
        <f t="shared" si="11"/>
        <v>4.0711009174311918E-2</v>
      </c>
      <c r="I40" s="79">
        <f t="shared" si="11"/>
        <v>1.5120254213038864E-2</v>
      </c>
      <c r="J40" s="79">
        <f t="shared" si="11"/>
        <v>6.8157500534988147E-2</v>
      </c>
      <c r="K40" s="79">
        <f t="shared" si="11"/>
        <v>4.6007853403141397E-2</v>
      </c>
      <c r="L40" s="79">
        <f t="shared" si="11"/>
        <v>2.3051523269579377E-3</v>
      </c>
      <c r="M40" s="79">
        <f t="shared" si="11"/>
        <v>0.10106856249406104</v>
      </c>
      <c r="N40" s="79">
        <f t="shared" si="11"/>
        <v>-5.9977271770697449E-2</v>
      </c>
      <c r="O40" s="79">
        <f t="shared" si="11"/>
        <v>2.9430847280089489E-2</v>
      </c>
      <c r="Q40" s="110" t="s">
        <v>40</v>
      </c>
      <c r="R40" s="41">
        <f>_xlfn.COVARIANCE.S($M$34:$M$57,C$34:C$57)</f>
        <v>1.2323784638419058E-3</v>
      </c>
      <c r="S40" s="41">
        <f>_xlfn.COVARIANCE.S($M$34:$M$57,D$34:D$57)</f>
        <v>1.1017970004408883E-3</v>
      </c>
      <c r="T40" s="41">
        <f t="shared" ref="T40:AB40" si="16">_xlfn.COVARIANCE.S($M$34:$M$57,E$34:E$57)</f>
        <v>3.3788703673343144E-3</v>
      </c>
      <c r="U40" s="41">
        <f t="shared" si="16"/>
        <v>1.9614281148519121E-3</v>
      </c>
      <c r="V40" s="41">
        <f t="shared" si="16"/>
        <v>1.9564980691000639E-3</v>
      </c>
      <c r="W40" s="41">
        <f t="shared" si="16"/>
        <v>1.3847177416860944E-3</v>
      </c>
      <c r="X40" s="41">
        <f t="shared" si="16"/>
        <v>7.9043023949706829E-4</v>
      </c>
      <c r="Y40" s="41">
        <f t="shared" si="16"/>
        <v>1.1109585051915715E-3</v>
      </c>
      <c r="Z40" s="41">
        <f t="shared" si="16"/>
        <v>1.2350760058637037E-3</v>
      </c>
      <c r="AA40" s="41">
        <f t="shared" si="16"/>
        <v>1.1455690411965524E-3</v>
      </c>
      <c r="AB40" s="82">
        <f t="shared" si="16"/>
        <v>2.8657232998928191E-3</v>
      </c>
      <c r="AE40" s="17"/>
      <c r="AF40" s="17"/>
      <c r="AG40" s="17"/>
    </row>
    <row r="41" spans="2:33" ht="16" x14ac:dyDescent="0.35">
      <c r="B41" s="75">
        <v>45139</v>
      </c>
      <c r="C41" s="79">
        <f t="shared" si="10"/>
        <v>-1.8894960462992549E-2</v>
      </c>
      <c r="D41" s="79">
        <f t="shared" si="10"/>
        <v>0.14912233614257331</v>
      </c>
      <c r="E41" s="79">
        <f>'[1]PORTFOLIO-1'!E14/'[1]PORTFOLIO-1'!E13-1</f>
        <v>-6.7209490596587429E-2</v>
      </c>
      <c r="F41" s="79">
        <f t="shared" si="11"/>
        <v>-2.9030927835051568E-2</v>
      </c>
      <c r="G41" s="79">
        <f t="shared" si="11"/>
        <v>-1.5289982425307547E-2</v>
      </c>
      <c r="H41" s="79">
        <f t="shared" si="11"/>
        <v>-4.5423936333027215E-2</v>
      </c>
      <c r="I41" s="79">
        <f t="shared" si="11"/>
        <v>5.8830947259105537E-2</v>
      </c>
      <c r="J41" s="79">
        <f t="shared" si="11"/>
        <v>-3.9617349494139975E-2</v>
      </c>
      <c r="K41" s="79">
        <f t="shared" si="11"/>
        <v>-6.8447725708565277E-2</v>
      </c>
      <c r="L41" s="79">
        <f t="shared" si="11"/>
        <v>0.11822476379910496</v>
      </c>
      <c r="M41" s="79">
        <f t="shared" si="11"/>
        <v>-5.5804429520723731E-2</v>
      </c>
      <c r="N41" s="79">
        <f t="shared" si="11"/>
        <v>4.9655234172114371E-2</v>
      </c>
      <c r="O41" s="79">
        <f t="shared" si="11"/>
        <v>-2.5311585618969512E-2</v>
      </c>
      <c r="Q41" s="110" t="s">
        <v>41</v>
      </c>
      <c r="R41" s="41">
        <f>_xlfn.COVARIANCE.S($N$34:$N$57,C$34:C$57)</f>
        <v>1.9511400979168073E-3</v>
      </c>
      <c r="S41" s="41">
        <f>_xlfn.COVARIANCE.S($N$34:$N$57,D$34:D$57)</f>
        <v>-7.2473877487260298E-4</v>
      </c>
      <c r="T41" s="41">
        <f t="shared" ref="T41:AC41" si="17">_xlfn.COVARIANCE.S($N$34:$N$57,E$34:E$57)</f>
        <v>1.8007264972442691E-3</v>
      </c>
      <c r="U41" s="41">
        <f t="shared" si="17"/>
        <v>2.0329168998019032E-3</v>
      </c>
      <c r="V41" s="41">
        <f t="shared" si="17"/>
        <v>-1.6596195287228506E-3</v>
      </c>
      <c r="W41" s="41">
        <f t="shared" si="17"/>
        <v>-2.1607784315031095E-4</v>
      </c>
      <c r="X41" s="41">
        <f t="shared" si="17"/>
        <v>3.2839545580101354E-3</v>
      </c>
      <c r="Y41" s="41">
        <f t="shared" si="17"/>
        <v>-2.7028207744516058E-4</v>
      </c>
      <c r="Z41" s="41">
        <f t="shared" si="17"/>
        <v>6.1245101749951081E-4</v>
      </c>
      <c r="AA41" s="41">
        <f t="shared" si="17"/>
        <v>9.4572650423430907E-4</v>
      </c>
      <c r="AB41" s="41">
        <f t="shared" si="17"/>
        <v>4.8277648480679543E-4</v>
      </c>
      <c r="AC41" s="82">
        <f t="shared" si="17"/>
        <v>3.6072246381683788E-3</v>
      </c>
      <c r="AE41" s="17"/>
      <c r="AF41" s="17"/>
      <c r="AG41" s="17"/>
    </row>
    <row r="42" spans="2:33" x14ac:dyDescent="0.35">
      <c r="B42" s="75">
        <v>45170</v>
      </c>
      <c r="C42" s="79">
        <f t="shared" si="10"/>
        <v>5.1180371829097515E-2</v>
      </c>
      <c r="D42" s="79">
        <f t="shared" si="10"/>
        <v>1.9853319007801185E-2</v>
      </c>
      <c r="E42" s="79">
        <f>'[1]PORTFOLIO-1'!E15/'[1]PORTFOLIO-1'!E14-1</f>
        <v>4.8585496119502691E-2</v>
      </c>
      <c r="F42" s="79">
        <f t="shared" si="11"/>
        <v>5.0988338935336275E-2</v>
      </c>
      <c r="G42" s="79">
        <f t="shared" si="11"/>
        <v>-6.3639376864434882E-2</v>
      </c>
      <c r="H42" s="79">
        <f t="shared" si="11"/>
        <v>-6.4131340986262053E-5</v>
      </c>
      <c r="I42" s="79">
        <f t="shared" si="11"/>
        <v>0</v>
      </c>
      <c r="J42" s="79">
        <f t="shared" si="11"/>
        <v>-7.1447196870926266E-3</v>
      </c>
      <c r="K42" s="79">
        <f t="shared" si="11"/>
        <v>3.4488548592920942E-2</v>
      </c>
      <c r="L42" s="79">
        <f t="shared" si="11"/>
        <v>5.1361867704279973E-2</v>
      </c>
      <c r="M42" s="79">
        <f t="shared" si="11"/>
        <v>-2.5758205234732046E-2</v>
      </c>
      <c r="N42" s="79">
        <f t="shared" si="11"/>
        <v>5.3448790683786163E-2</v>
      </c>
      <c r="O42" s="79">
        <f t="shared" si="11"/>
        <v>1.9970083827608009E-2</v>
      </c>
      <c r="AE42" s="17"/>
    </row>
    <row r="43" spans="2:33" x14ac:dyDescent="0.35">
      <c r="B43" s="75">
        <v>45200</v>
      </c>
      <c r="C43" s="79">
        <f t="shared" si="10"/>
        <v>-4.5303260228964803E-2</v>
      </c>
      <c r="D43" s="79">
        <f t="shared" si="10"/>
        <v>-6.6187248076218341E-2</v>
      </c>
      <c r="E43" s="79">
        <f>'[1]PORTFOLIO-1'!E16/'[1]PORTFOLIO-1'!E15-1</f>
        <v>-2.4512144653486834E-3</v>
      </c>
      <c r="F43" s="79">
        <f t="shared" si="11"/>
        <v>2.6924364702758385E-2</v>
      </c>
      <c r="G43" s="79">
        <f t="shared" si="11"/>
        <v>-9.3002042205582058E-2</v>
      </c>
      <c r="H43" s="79">
        <f t="shared" si="11"/>
        <v>-5.547716777834788E-2</v>
      </c>
      <c r="I43" s="79">
        <f t="shared" si="11"/>
        <v>-4.6713978464491657E-2</v>
      </c>
      <c r="J43" s="79">
        <f t="shared" si="11"/>
        <v>-3.8396890429666986E-2</v>
      </c>
      <c r="K43" s="79">
        <f t="shared" si="11"/>
        <v>1.902288589514689E-2</v>
      </c>
      <c r="L43" s="79">
        <f t="shared" si="11"/>
        <v>-3.901871629480802E-2</v>
      </c>
      <c r="M43" s="79">
        <f t="shared" si="11"/>
        <v>-2.4349680170575705E-2</v>
      </c>
      <c r="N43" s="79">
        <f t="shared" si="11"/>
        <v>3.3365727243278354E-2</v>
      </c>
      <c r="O43" s="79">
        <f t="shared" si="11"/>
        <v>-2.844950937708457E-2</v>
      </c>
    </row>
    <row r="44" spans="2:33" ht="15" thickBot="1" x14ac:dyDescent="0.4">
      <c r="B44" s="75">
        <v>45231</v>
      </c>
      <c r="C44" s="79">
        <f t="shared" si="10"/>
        <v>3.5279627580736106E-2</v>
      </c>
      <c r="D44" s="79">
        <f t="shared" si="10"/>
        <v>9.8984647079020993E-2</v>
      </c>
      <c r="E44" s="79">
        <f>'[1]PORTFOLIO-1'!E17/'[1]PORTFOLIO-1'!E16-1</f>
        <v>0.12367564462598923</v>
      </c>
      <c r="F44" s="79">
        <f t="shared" si="11"/>
        <v>4.4690539097195003E-2</v>
      </c>
      <c r="G44" s="79">
        <f t="shared" si="11"/>
        <v>9.8065116558339271E-2</v>
      </c>
      <c r="H44" s="79">
        <f t="shared" si="11"/>
        <v>8.7933727167787135E-2</v>
      </c>
      <c r="I44" s="79">
        <f t="shared" si="11"/>
        <v>6.3392443761804307E-2</v>
      </c>
      <c r="J44" s="79">
        <f t="shared" si="11"/>
        <v>2.1412574425083264E-2</v>
      </c>
      <c r="K44" s="79">
        <f t="shared" si="11"/>
        <v>6.6229173967060628E-2</v>
      </c>
      <c r="L44" s="79">
        <f t="shared" si="11"/>
        <v>0.21588908450704225</v>
      </c>
      <c r="M44" s="79">
        <f t="shared" si="11"/>
        <v>3.9136325888369239E-2</v>
      </c>
      <c r="N44" s="79">
        <f t="shared" si="11"/>
        <v>5.086206896551726E-2</v>
      </c>
      <c r="O44" s="79">
        <f t="shared" si="11"/>
        <v>5.5218662865049728E-2</v>
      </c>
    </row>
    <row r="45" spans="2:33" ht="16.5" thickBot="1" x14ac:dyDescent="0.45">
      <c r="B45" s="75">
        <v>45261</v>
      </c>
      <c r="C45" s="79">
        <f t="shared" si="10"/>
        <v>8.7685185985349134E-2</v>
      </c>
      <c r="D45" s="79">
        <f t="shared" si="10"/>
        <v>0.10542289667484939</v>
      </c>
      <c r="E45" s="79">
        <f>'[1]PORTFOLIO-1'!E18/'[1]PORTFOLIO-1'!E17-1</f>
        <v>0.10411371284949511</v>
      </c>
      <c r="F45" s="79">
        <f t="shared" si="11"/>
        <v>0.15525182953077921</v>
      </c>
      <c r="G45" s="79">
        <f t="shared" si="11"/>
        <v>0.10036636045494318</v>
      </c>
      <c r="H45" s="79">
        <f t="shared" si="11"/>
        <v>9.8801647734365172E-2</v>
      </c>
      <c r="I45" s="79">
        <f t="shared" si="11"/>
        <v>6.0304494156835808E-2</v>
      </c>
      <c r="J45" s="79">
        <f t="shared" si="11"/>
        <v>6.5939355045724346E-2</v>
      </c>
      <c r="K45" s="79">
        <f t="shared" si="11"/>
        <v>7.3498655512398425E-3</v>
      </c>
      <c r="L45" s="79">
        <f t="shared" si="11"/>
        <v>0.119366515837104</v>
      </c>
      <c r="M45" s="79">
        <f t="shared" si="11"/>
        <v>8.727875361733628E-2</v>
      </c>
      <c r="N45" s="79">
        <f t="shared" si="11"/>
        <v>9.3370124543217026E-2</v>
      </c>
      <c r="O45" s="79">
        <f t="shared" si="11"/>
        <v>7.9384001013254268E-2</v>
      </c>
      <c r="Q45" s="101" t="s">
        <v>27</v>
      </c>
      <c r="R45" s="102" t="s">
        <v>28</v>
      </c>
      <c r="T45" s="103" t="s">
        <v>29</v>
      </c>
      <c r="U45" s="104">
        <f>SUM(Q58,R112)</f>
        <v>1.3886336806869814E-3</v>
      </c>
    </row>
    <row r="46" spans="2:33" x14ac:dyDescent="0.35">
      <c r="B46" s="75">
        <v>45292</v>
      </c>
      <c r="C46" s="79">
        <f t="shared" si="10"/>
        <v>1.0604066304546356E-2</v>
      </c>
      <c r="D46" s="79">
        <f t="shared" si="10"/>
        <v>-2.7052125812572214E-3</v>
      </c>
      <c r="E46" s="79">
        <f>'[1]PORTFOLIO-1'!E19/'[1]PORTFOLIO-1'!E18-1</f>
        <v>0.13366343000450143</v>
      </c>
      <c r="F46" s="79">
        <f t="shared" si="11"/>
        <v>2.870158180090554E-2</v>
      </c>
      <c r="G46" s="79">
        <f t="shared" si="11"/>
        <v>2.9145029443188308E-2</v>
      </c>
      <c r="H46" s="79">
        <f t="shared" si="11"/>
        <v>-6.9980119284294262E-2</v>
      </c>
      <c r="I46" s="79">
        <f t="shared" si="11"/>
        <v>7.6480364999185202E-2</v>
      </c>
      <c r="J46" s="79">
        <f t="shared" si="11"/>
        <v>3.165763596227178E-2</v>
      </c>
      <c r="K46" s="79">
        <f t="shared" si="11"/>
        <v>-3.4701625341084341E-2</v>
      </c>
      <c r="L46" s="79">
        <f t="shared" si="11"/>
        <v>3.5168566577734595E-2</v>
      </c>
      <c r="M46" s="79">
        <f t="shared" si="11"/>
        <v>0.10380124877173169</v>
      </c>
      <c r="N46" s="79">
        <f t="shared" si="11"/>
        <v>7.4960780301480234E-2</v>
      </c>
      <c r="O46" s="79">
        <f t="shared" si="11"/>
        <v>-2.6229327148741266E-4</v>
      </c>
      <c r="Q46" s="43">
        <f t="shared" ref="Q46:Q57" si="18">(R7^2)*U7</f>
        <v>2.1118649792216782E-5</v>
      </c>
      <c r="R46" s="44">
        <f t="shared" ref="R46:R56" si="19">2*$R$7*$R8*$R31</f>
        <v>7.5450820246041217E-6</v>
      </c>
      <c r="S46" s="17"/>
      <c r="T46" s="86" t="s">
        <v>30</v>
      </c>
      <c r="U46" s="87">
        <f>SQRT(U45)</f>
        <v>3.7264375490365882E-2</v>
      </c>
    </row>
    <row r="47" spans="2:33" ht="15" thickBot="1" x14ac:dyDescent="0.4">
      <c r="B47" s="75">
        <v>45323</v>
      </c>
      <c r="C47" s="79">
        <f t="shared" si="10"/>
        <v>7.3153474233152993E-2</v>
      </c>
      <c r="D47" s="79">
        <f t="shared" si="10"/>
        <v>-6.8016194331983804E-2</v>
      </c>
      <c r="E47" s="79">
        <f>'[1]PORTFOLIO-1'!E20/'[1]PORTFOLIO-1'!E19-1</f>
        <v>7.4647184280981937E-2</v>
      </c>
      <c r="F47" s="79">
        <f t="shared" si="11"/>
        <v>6.4449817526510689E-2</v>
      </c>
      <c r="G47" s="79">
        <f t="shared" si="11"/>
        <v>0.12970787059391609</v>
      </c>
      <c r="H47" s="79">
        <f t="shared" si="11"/>
        <v>-2.2659256092347091E-2</v>
      </c>
      <c r="I47" s="79">
        <f t="shared" si="11"/>
        <v>7.8288195012079509E-3</v>
      </c>
      <c r="J47" s="79">
        <f t="shared" si="11"/>
        <v>2.3391528473471812E-2</v>
      </c>
      <c r="K47" s="79">
        <f t="shared" si="11"/>
        <v>-2.0586247157868831E-2</v>
      </c>
      <c r="L47" s="79">
        <f t="shared" si="11"/>
        <v>0.10004686035613863</v>
      </c>
      <c r="M47" s="79">
        <f t="shared" si="11"/>
        <v>2.3951550156662726E-2</v>
      </c>
      <c r="N47" s="79">
        <f t="shared" si="11"/>
        <v>5.5742385786802018E-2</v>
      </c>
      <c r="O47" s="79">
        <f t="shared" si="11"/>
        <v>1.1833910990209695E-2</v>
      </c>
      <c r="Q47" s="45">
        <f t="shared" si="18"/>
        <v>4.0901687558483299E-5</v>
      </c>
      <c r="R47" s="39">
        <f t="shared" si="19"/>
        <v>5.2750420748407748E-5</v>
      </c>
      <c r="T47" s="88" t="s">
        <v>31</v>
      </c>
      <c r="U47" s="89">
        <f>U46*SQRT(12)</f>
        <v>0.12908758332327619</v>
      </c>
    </row>
    <row r="48" spans="2:33" x14ac:dyDescent="0.35">
      <c r="B48" s="75">
        <v>45352</v>
      </c>
      <c r="C48" s="79">
        <f t="shared" si="10"/>
        <v>-5.3429708676222765E-2</v>
      </c>
      <c r="D48" s="79">
        <f t="shared" si="10"/>
        <v>-1.8592528236316297E-2</v>
      </c>
      <c r="E48" s="79">
        <f>'[1]PORTFOLIO-1'!E21/'[1]PORTFOLIO-1'!E20-1</f>
        <v>4.4833628916476576E-2</v>
      </c>
      <c r="F48" s="79">
        <f t="shared" si="11"/>
        <v>-7.8864084938406132E-2</v>
      </c>
      <c r="G48" s="79">
        <f t="shared" si="11"/>
        <v>0.14848533418817111</v>
      </c>
      <c r="H48" s="79">
        <f t="shared" si="11"/>
        <v>3.7620297462817254E-2</v>
      </c>
      <c r="I48" s="79">
        <f t="shared" si="11"/>
        <v>-0.1050513060822339</v>
      </c>
      <c r="J48" s="79">
        <f t="shared" si="11"/>
        <v>3.9061015016156553E-2</v>
      </c>
      <c r="K48" s="79">
        <f t="shared" si="11"/>
        <v>3.1402936378466473E-2</v>
      </c>
      <c r="L48" s="79">
        <f t="shared" si="11"/>
        <v>-7.0287539936101373E-3</v>
      </c>
      <c r="M48" s="79">
        <f t="shared" si="11"/>
        <v>1.7148138006571667E-2</v>
      </c>
      <c r="N48" s="79">
        <f t="shared" si="11"/>
        <v>-7.2302190702286828E-2</v>
      </c>
      <c r="O48" s="79">
        <f t="shared" si="11"/>
        <v>1.5653147005840973E-2</v>
      </c>
      <c r="Q48" s="45">
        <f t="shared" si="18"/>
        <v>8.5507657535070019E-5</v>
      </c>
      <c r="R48" s="39">
        <f t="shared" si="19"/>
        <v>3.1466426137713271E-5</v>
      </c>
    </row>
    <row r="49" spans="2:27" x14ac:dyDescent="0.35">
      <c r="B49" s="75">
        <v>45383</v>
      </c>
      <c r="C49" s="79">
        <f t="shared" si="10"/>
        <v>-1.4356473957124138E-2</v>
      </c>
      <c r="D49" s="79">
        <f t="shared" si="10"/>
        <v>0.12535410764872523</v>
      </c>
      <c r="E49" s="79">
        <f>'[1]PORTFOLIO-1'!E22/'[1]PORTFOLIO-1'!E21-1</f>
        <v>1.5205860065673038E-2</v>
      </c>
      <c r="F49" s="79">
        <f t="shared" si="11"/>
        <v>1.1082993147015996E-2</v>
      </c>
      <c r="G49" s="79">
        <f t="shared" si="11"/>
        <v>8.7020031447418544E-2</v>
      </c>
      <c r="H49" s="79">
        <f t="shared" si="11"/>
        <v>6.2635509515779342E-2</v>
      </c>
      <c r="I49" s="79">
        <f t="shared" si="11"/>
        <v>-5.1736637890525516E-2</v>
      </c>
      <c r="J49" s="79">
        <f t="shared" si="11"/>
        <v>5.2227202048843013E-2</v>
      </c>
      <c r="K49" s="79">
        <f t="shared" si="11"/>
        <v>-1.7550263101864472E-2</v>
      </c>
      <c r="L49" s="79">
        <f t="shared" si="11"/>
        <v>5.7807807807807698E-2</v>
      </c>
      <c r="M49" s="79">
        <f t="shared" si="11"/>
        <v>-1.2686341151529335E-2</v>
      </c>
      <c r="N49" s="79">
        <f t="shared" si="11"/>
        <v>-0.1146383337112501</v>
      </c>
      <c r="O49" s="79">
        <f t="shared" si="11"/>
        <v>1.2449108474530624E-2</v>
      </c>
      <c r="Q49" s="45">
        <f t="shared" si="18"/>
        <v>2.4442222294019019E-5</v>
      </c>
      <c r="R49" s="39">
        <f t="shared" si="19"/>
        <v>4.8534218352634142E-6</v>
      </c>
    </row>
    <row r="50" spans="2:27" x14ac:dyDescent="0.35">
      <c r="B50" s="75">
        <v>45413</v>
      </c>
      <c r="C50" s="79">
        <f t="shared" si="10"/>
        <v>-3.9181814612696875E-2</v>
      </c>
      <c r="D50" s="79">
        <f t="shared" si="10"/>
        <v>0.22738357457520442</v>
      </c>
      <c r="E50" s="79">
        <f>'[1]PORTFOLIO-1'!E23/'[1]PORTFOLIO-1'!E22-1</f>
        <v>-8.4235668789808926E-2</v>
      </c>
      <c r="F50" s="79">
        <f t="shared" si="11"/>
        <v>-4.3398432504521578E-2</v>
      </c>
      <c r="G50" s="79">
        <f t="shared" si="11"/>
        <v>0.1938305630210384</v>
      </c>
      <c r="H50" s="79">
        <f t="shared" si="11"/>
        <v>-1.8703241895262623E-3</v>
      </c>
      <c r="I50" s="79">
        <f t="shared" si="11"/>
        <v>-4.028061928797344E-3</v>
      </c>
      <c r="J50" s="79">
        <f t="shared" si="11"/>
        <v>-2.5512865090403403E-2</v>
      </c>
      <c r="K50" s="79">
        <f t="shared" si="11"/>
        <v>-5.3498452012384012E-2</v>
      </c>
      <c r="L50" s="79">
        <f t="shared" si="11"/>
        <v>-3.5587549427151921E-2</v>
      </c>
      <c r="M50" s="79">
        <f t="shared" si="11"/>
        <v>-2.4948875255623615E-2</v>
      </c>
      <c r="N50" s="79">
        <f t="shared" si="11"/>
        <v>-3.109907800380507E-2</v>
      </c>
      <c r="O50" s="79">
        <f t="shared" si="11"/>
        <v>-3.2802694996869608E-3</v>
      </c>
      <c r="Q50" s="45">
        <f t="shared" si="18"/>
        <v>5.5867123249412492E-5</v>
      </c>
      <c r="R50" s="39">
        <f t="shared" si="19"/>
        <v>7.4496831120695835E-6</v>
      </c>
      <c r="T50" s="46"/>
      <c r="U50" s="46"/>
      <c r="V50" s="46"/>
      <c r="W50" s="46"/>
      <c r="X50" s="46"/>
      <c r="Y50" s="46"/>
    </row>
    <row r="51" spans="2:27" ht="18" customHeight="1" x14ac:dyDescent="0.35">
      <c r="B51" s="75">
        <v>45444</v>
      </c>
      <c r="C51" s="79">
        <f t="shared" si="10"/>
        <v>6.3525790326754761E-2</v>
      </c>
      <c r="D51" s="79">
        <f t="shared" si="10"/>
        <v>7.0565614484858097E-2</v>
      </c>
      <c r="E51" s="79">
        <f>'[1]PORTFOLIO-1'!E24/'[1]PORTFOLIO-1'!E23-1</f>
        <v>7.5628151625804163E-2</v>
      </c>
      <c r="F51" s="79">
        <f t="shared" si="11"/>
        <v>3.5092577561758098E-2</v>
      </c>
      <c r="G51" s="79">
        <f t="shared" si="11"/>
        <v>0.10474620017206759</v>
      </c>
      <c r="H51" s="79">
        <f t="shared" si="11"/>
        <v>5.7861563795355231E-2</v>
      </c>
      <c r="I51" s="79">
        <f t="shared" si="11"/>
        <v>0.11361859407207331</v>
      </c>
      <c r="J51" s="79">
        <f t="shared" si="11"/>
        <v>7.0068239596806636E-2</v>
      </c>
      <c r="K51" s="79">
        <f t="shared" si="11"/>
        <v>3.8957215752976726E-2</v>
      </c>
      <c r="L51" s="79">
        <f t="shared" si="11"/>
        <v>0.1420661620409307</v>
      </c>
      <c r="M51" s="79">
        <f t="shared" si="11"/>
        <v>9.437919463087252E-2</v>
      </c>
      <c r="N51" s="79">
        <f t="shared" si="11"/>
        <v>0.10233366059965254</v>
      </c>
      <c r="O51" s="79">
        <f t="shared" si="11"/>
        <v>6.5683711558007341E-2</v>
      </c>
      <c r="Q51" s="45">
        <f t="shared" si="18"/>
        <v>1.5241647162538391E-5</v>
      </c>
      <c r="R51" s="39">
        <f t="shared" si="19"/>
        <v>2.3469552510727228E-5</v>
      </c>
      <c r="T51" s="47"/>
      <c r="U51" s="48"/>
      <c r="V51" s="48"/>
      <c r="W51" s="48"/>
      <c r="X51" s="49"/>
      <c r="Y51" s="48"/>
    </row>
    <row r="52" spans="2:27" x14ac:dyDescent="0.35">
      <c r="B52" s="75">
        <v>45474</v>
      </c>
      <c r="C52" s="79">
        <f t="shared" si="10"/>
        <v>0.12325346106066637</v>
      </c>
      <c r="D52" s="79">
        <f t="shared" si="10"/>
        <v>3.7806447750471595E-2</v>
      </c>
      <c r="E52" s="79">
        <f>'[1]PORTFOLIO-1'!E25/'[1]PORTFOLIO-1'!E24-1</f>
        <v>0.16862844152563783</v>
      </c>
      <c r="F52" s="79">
        <f t="shared" si="11"/>
        <v>9.6837580029151882E-2</v>
      </c>
      <c r="G52" s="79">
        <f t="shared" si="11"/>
        <v>-7.419040820299827E-2</v>
      </c>
      <c r="H52" s="79">
        <f t="shared" si="11"/>
        <v>-3.4889962426194465E-3</v>
      </c>
      <c r="I52" s="79">
        <f t="shared" si="11"/>
        <v>0.19243657252273816</v>
      </c>
      <c r="J52" s="79">
        <f t="shared" si="11"/>
        <v>1.2754251417139262E-2</v>
      </c>
      <c r="K52" s="79">
        <f t="shared" si="11"/>
        <v>3.9983628750432931E-2</v>
      </c>
      <c r="L52" s="79">
        <f t="shared" si="11"/>
        <v>-3.1972997852101726E-2</v>
      </c>
      <c r="M52" s="79">
        <f t="shared" si="11"/>
        <v>-3.8309697201993065E-2</v>
      </c>
      <c r="N52" s="79">
        <f t="shared" si="11"/>
        <v>0.12537681556590852</v>
      </c>
      <c r="O52" s="79">
        <f t="shared" si="11"/>
        <v>3.917228224200997E-2</v>
      </c>
      <c r="Q52" s="45">
        <f t="shared" si="18"/>
        <v>1.2591173865174077E-5</v>
      </c>
      <c r="R52" s="39">
        <f t="shared" si="19"/>
        <v>1.3265801837094315E-5</v>
      </c>
    </row>
    <row r="53" spans="2:27" x14ac:dyDescent="0.35">
      <c r="B53" s="75">
        <v>45505</v>
      </c>
      <c r="C53" s="79">
        <f t="shared" si="10"/>
        <v>3.8400583761843299E-2</v>
      </c>
      <c r="D53" s="79">
        <f t="shared" si="10"/>
        <v>-8.4511104701471051E-2</v>
      </c>
      <c r="E53" s="79">
        <f>'[1]PORTFOLIO-1'!E26/'[1]PORTFOLIO-1'!E25-1</f>
        <v>-3.9164829464401696E-2</v>
      </c>
      <c r="F53" s="79">
        <f t="shared" si="11"/>
        <v>9.4200765381218243E-3</v>
      </c>
      <c r="G53" s="79">
        <f t="shared" si="11"/>
        <v>-3.3618864697388062E-2</v>
      </c>
      <c r="H53" s="79">
        <f t="shared" si="11"/>
        <v>1.3843253433881042E-2</v>
      </c>
      <c r="I53" s="79">
        <f t="shared" si="11"/>
        <v>4.038538739462072E-2</v>
      </c>
      <c r="J53" s="79">
        <f t="shared" si="11"/>
        <v>1.1770516091859307E-2</v>
      </c>
      <c r="K53" s="79">
        <f t="shared" si="11"/>
        <v>7.9556806829534032E-2</v>
      </c>
      <c r="L53" s="79">
        <f t="shared" si="11"/>
        <v>-4.8497527577025523E-2</v>
      </c>
      <c r="M53" s="79">
        <f t="shared" si="11"/>
        <v>2.7899005599729687E-3</v>
      </c>
      <c r="N53" s="79">
        <f t="shared" si="11"/>
        <v>6.7362717642761583E-2</v>
      </c>
      <c r="O53" s="79">
        <f t="shared" si="11"/>
        <v>1.141229963348378E-2</v>
      </c>
      <c r="Q53" s="45">
        <f t="shared" si="18"/>
        <v>2.5871045252076249E-5</v>
      </c>
      <c r="R53" s="39">
        <f t="shared" si="19"/>
        <v>1.225076312948857E-5</v>
      </c>
    </row>
    <row r="54" spans="2:27" x14ac:dyDescent="0.35">
      <c r="B54" s="75">
        <v>45536</v>
      </c>
      <c r="C54" s="79">
        <f t="shared" si="10"/>
        <v>-6.2640680757617306E-2</v>
      </c>
      <c r="D54" s="79">
        <f t="shared" si="10"/>
        <v>-4.4360428481411529E-2</v>
      </c>
      <c r="E54" s="79">
        <f>'[1]PORTFOLIO-1'!E27/'[1]PORTFOLIO-1'!E26-1</f>
        <v>-0.1230035542358392</v>
      </c>
      <c r="F54" s="79">
        <f t="shared" si="11"/>
        <v>-2.6663333749947782E-3</v>
      </c>
      <c r="G54" s="79">
        <f t="shared" si="11"/>
        <v>5.1776414095254575E-2</v>
      </c>
      <c r="H54" s="79">
        <f t="shared" si="11"/>
        <v>9.4517054510678822E-2</v>
      </c>
      <c r="I54" s="79">
        <f t="shared" si="11"/>
        <v>-3.5036271029479926E-2</v>
      </c>
      <c r="J54" s="79">
        <f t="shared" si="11"/>
        <v>3.5632931988285099E-2</v>
      </c>
      <c r="K54" s="79">
        <f t="shared" si="11"/>
        <v>0.10675527887608327</v>
      </c>
      <c r="L54" s="79">
        <f t="shared" si="11"/>
        <v>9.8940635618627315E-3</v>
      </c>
      <c r="M54" s="79">
        <f t="shared" si="11"/>
        <v>-2.1899405814669981E-2</v>
      </c>
      <c r="N54" s="79">
        <f t="shared" si="11"/>
        <v>2.4440325110508976E-2</v>
      </c>
      <c r="O54" s="79">
        <f t="shared" si="11"/>
        <v>2.2783019428670892E-2</v>
      </c>
      <c r="Q54" s="45">
        <f t="shared" si="18"/>
        <v>4.5364560290933225E-5</v>
      </c>
      <c r="R54" s="39">
        <f t="shared" si="19"/>
        <v>8.2780776031995073E-6</v>
      </c>
    </row>
    <row r="55" spans="2:27" x14ac:dyDescent="0.35">
      <c r="B55" s="75">
        <v>45566</v>
      </c>
      <c r="C55" s="79">
        <f t="shared" si="10"/>
        <v>-8.4882277146538621E-2</v>
      </c>
      <c r="D55" s="79">
        <f t="shared" si="10"/>
        <v>-7.0189898457074906E-2</v>
      </c>
      <c r="E55" s="79">
        <f>'[1]PORTFOLIO-1'!E28/'[1]PORTFOLIO-1'!E27-1</f>
        <v>-0.14425691273790597</v>
      </c>
      <c r="F55" s="79">
        <f t="shared" si="11"/>
        <v>-0.16241279919796159</v>
      </c>
      <c r="G55" s="79">
        <f t="shared" si="11"/>
        <v>-3.7751724137931042E-2</v>
      </c>
      <c r="H55" s="79">
        <f t="shared" si="11"/>
        <v>-6.4462890150963514E-2</v>
      </c>
      <c r="I55" s="79">
        <f t="shared" si="11"/>
        <v>-6.3099808061420348E-2</v>
      </c>
      <c r="J55" s="79">
        <f t="shared" si="11"/>
        <v>1.5121759622938047E-2</v>
      </c>
      <c r="K55" s="79">
        <f t="shared" si="11"/>
        <v>-0.1128255802168846</v>
      </c>
      <c r="L55" s="79">
        <f t="shared" si="11"/>
        <v>-1.4101929737753482E-2</v>
      </c>
      <c r="M55" s="79">
        <f t="shared" si="11"/>
        <v>-9.7875481690674948E-2</v>
      </c>
      <c r="N55" s="79">
        <f t="shared" si="11"/>
        <v>-2.0021156951171903E-2</v>
      </c>
      <c r="O55" s="79">
        <f t="shared" si="11"/>
        <v>-6.2202523357425266E-2</v>
      </c>
      <c r="Q55" s="45">
        <f t="shared" si="18"/>
        <v>1.1483385995867468E-5</v>
      </c>
      <c r="R55" s="39">
        <f t="shared" si="19"/>
        <v>1.6760347108249921E-5</v>
      </c>
    </row>
    <row r="56" spans="2:27" x14ac:dyDescent="0.35">
      <c r="B56" s="75">
        <v>45597</v>
      </c>
      <c r="C56" s="79">
        <f t="shared" si="10"/>
        <v>7.6202325545673855E-2</v>
      </c>
      <c r="D56" s="79">
        <f t="shared" si="10"/>
        <v>-5.5242350104598881E-2</v>
      </c>
      <c r="E56" s="79">
        <f>'[1]PORTFOLIO-1'!E29/'[1]PORTFOLIO-1'!E28-1</f>
        <v>-5.7070919009651555E-2</v>
      </c>
      <c r="F56" s="79">
        <f t="shared" si="11"/>
        <v>-4.3788339733679127E-2</v>
      </c>
      <c r="G56" s="79">
        <f t="shared" si="11"/>
        <v>8.3790834683141524E-2</v>
      </c>
      <c r="H56" s="79">
        <f t="shared" si="11"/>
        <v>2.438644736159512E-3</v>
      </c>
      <c r="I56" s="79">
        <f t="shared" si="11"/>
        <v>5.7248541755583915E-2</v>
      </c>
      <c r="J56" s="79">
        <f t="shared" si="11"/>
        <v>6.0746759527954275E-3</v>
      </c>
      <c r="K56" s="79">
        <f t="shared" si="11"/>
        <v>-9.7558189347422553E-2</v>
      </c>
      <c r="L56" s="79">
        <f t="shared" si="11"/>
        <v>3.9230447511501509E-2</v>
      </c>
      <c r="M56" s="79">
        <f t="shared" si="11"/>
        <v>-2.9916294433392054E-2</v>
      </c>
      <c r="N56" s="79">
        <f t="shared" si="11"/>
        <v>4.6428125035508527E-2</v>
      </c>
      <c r="O56" s="79">
        <f t="shared" si="11"/>
        <v>-3.0675036717089377E-3</v>
      </c>
      <c r="Q56" s="45">
        <f t="shared" si="18"/>
        <v>1.8340629119314045E-5</v>
      </c>
      <c r="R56" s="39">
        <f t="shared" si="19"/>
        <v>1.9901628998751435E-5</v>
      </c>
      <c r="AA56" s="1" t="s">
        <v>23</v>
      </c>
    </row>
    <row r="57" spans="2:27" x14ac:dyDescent="0.35">
      <c r="B57" s="75">
        <v>45627</v>
      </c>
      <c r="C57" s="79">
        <f t="shared" si="10"/>
        <v>-4.1221835274415808E-2</v>
      </c>
      <c r="D57" s="79">
        <f t="shared" si="10"/>
        <v>-2.4582473259523341E-2</v>
      </c>
      <c r="E57" s="79">
        <f>'[1]PORTFOLIO-1'!E30/'[1]PORTFOLIO-1'!E29-1</f>
        <v>-5.8872146989637053E-2</v>
      </c>
      <c r="F57" s="79">
        <f t="shared" si="11"/>
        <v>-4.5845720544515633E-2</v>
      </c>
      <c r="G57" s="79">
        <f t="shared" si="11"/>
        <v>-0.13554031623428586</v>
      </c>
      <c r="H57" s="79">
        <f t="shared" si="11"/>
        <v>-6.6770186335403769E-2</v>
      </c>
      <c r="I57" s="79">
        <f t="shared" si="11"/>
        <v>1.1922383400166936E-2</v>
      </c>
      <c r="J57" s="79">
        <f t="shared" si="11"/>
        <v>-1.4191216060302936E-2</v>
      </c>
      <c r="K57" s="79">
        <f t="shared" si="11"/>
        <v>-7.5002373492832897E-3</v>
      </c>
      <c r="L57" s="79">
        <f t="shared" si="11"/>
        <v>2.7849323889246547E-2</v>
      </c>
      <c r="M57" s="79">
        <f t="shared" si="11"/>
        <v>-5.9394830521591113E-2</v>
      </c>
      <c r="N57" s="79">
        <f t="shared" si="11"/>
        <v>3.7527282203859258E-2</v>
      </c>
      <c r="O57" s="79">
        <f t="shared" si="11"/>
        <v>-2.0152417419844082E-2</v>
      </c>
      <c r="Q57" s="50">
        <f t="shared" si="18"/>
        <v>1.2986008697406164E-5</v>
      </c>
      <c r="R57" s="39">
        <f t="shared" ref="R57:R66" si="20">2*$R$8*$R9*$S32</f>
        <v>2.7389750720043664E-5</v>
      </c>
    </row>
    <row r="58" spans="2:27" x14ac:dyDescent="0.35">
      <c r="Q58" s="80">
        <f>SUM(Q46:Q57)</f>
        <v>3.6971579081251119E-4</v>
      </c>
      <c r="R58" s="39">
        <f t="shared" si="20"/>
        <v>1.3943892287248678E-5</v>
      </c>
      <c r="T58" s="1" t="s">
        <v>23</v>
      </c>
    </row>
    <row r="59" spans="2:27" x14ac:dyDescent="0.35">
      <c r="R59" s="44">
        <f t="shared" si="20"/>
        <v>3.4770772424125483E-5</v>
      </c>
    </row>
    <row r="60" spans="2:27" x14ac:dyDescent="0.35">
      <c r="R60" s="44">
        <f t="shared" si="20"/>
        <v>1.8131076747684105E-5</v>
      </c>
    </row>
    <row r="61" spans="2:27" x14ac:dyDescent="0.35">
      <c r="B61" s="32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R61" s="44">
        <f t="shared" si="20"/>
        <v>9.6709242825418968E-6</v>
      </c>
    </row>
    <row r="62" spans="2:27" x14ac:dyDescent="0.35">
      <c r="B62" s="32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R62" s="44">
        <f t="shared" si="20"/>
        <v>1.5279511583272714E-6</v>
      </c>
    </row>
    <row r="63" spans="2:27" x14ac:dyDescent="0.35">
      <c r="B63" s="32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R63" s="44">
        <f t="shared" si="20"/>
        <v>-9.721632709673482E-7</v>
      </c>
    </row>
    <row r="64" spans="2:27" x14ac:dyDescent="0.35">
      <c r="B64" s="32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R64" s="44">
        <f t="shared" si="20"/>
        <v>5.9486962174968878E-6</v>
      </c>
    </row>
    <row r="65" spans="2:18" x14ac:dyDescent="0.35">
      <c r="B65" s="32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R65" s="44">
        <f t="shared" si="20"/>
        <v>1.322156400529066E-5</v>
      </c>
    </row>
    <row r="66" spans="2:18" x14ac:dyDescent="0.35">
      <c r="B66" s="32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R66" s="44">
        <f t="shared" si="20"/>
        <v>-6.522648973853426E-6</v>
      </c>
    </row>
    <row r="67" spans="2:18" x14ac:dyDescent="0.35">
      <c r="B67" s="32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R67" s="44">
        <f t="shared" ref="R67:R75" si="21">2*$R$9*$R10*$T33</f>
        <v>6.9731578011007113E-5</v>
      </c>
    </row>
    <row r="68" spans="2:18" x14ac:dyDescent="0.35">
      <c r="B68" s="3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R68" s="44">
        <f t="shared" si="21"/>
        <v>1.235963270526042E-5</v>
      </c>
    </row>
    <row r="69" spans="2:18" x14ac:dyDescent="0.35">
      <c r="B69" s="32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R69" s="44">
        <f t="shared" si="21"/>
        <v>2.5705225778358475E-5</v>
      </c>
    </row>
    <row r="70" spans="2:18" x14ac:dyDescent="0.35">
      <c r="B70" s="32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R70" s="44">
        <f t="shared" si="21"/>
        <v>2.2178644502764658E-5</v>
      </c>
    </row>
    <row r="71" spans="2:18" x14ac:dyDescent="0.35">
      <c r="B71" s="32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R71" s="44">
        <f t="shared" si="21"/>
        <v>3.4246600318941554E-5</v>
      </c>
    </row>
    <row r="72" spans="2:18" x14ac:dyDescent="0.35">
      <c r="B72" s="32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R72" s="44">
        <f t="shared" si="21"/>
        <v>5.5584999011382599E-5</v>
      </c>
    </row>
    <row r="73" spans="2:18" x14ac:dyDescent="0.35">
      <c r="B73" s="32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R73" s="44">
        <f t="shared" si="21"/>
        <v>1.2318380346324354E-5</v>
      </c>
    </row>
    <row r="74" spans="2:18" x14ac:dyDescent="0.35">
      <c r="B74" s="32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R74" s="44">
        <f t="shared" si="21"/>
        <v>5.4061925877349029E-5</v>
      </c>
    </row>
    <row r="75" spans="2:18" x14ac:dyDescent="0.35">
      <c r="B75" s="32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R75" s="44">
        <f t="shared" si="21"/>
        <v>2.1608717966931228E-5</v>
      </c>
    </row>
    <row r="76" spans="2:18" x14ac:dyDescent="0.35">
      <c r="B76" s="32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R76" s="44">
        <f t="shared" ref="R76:R83" si="22">2*$R$10*$R11*$U34</f>
        <v>2.8758306396557949E-6</v>
      </c>
    </row>
    <row r="77" spans="2:18" x14ac:dyDescent="0.35">
      <c r="B77" s="32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R77" s="44">
        <f t="shared" si="22"/>
        <v>1.6975107529494629E-5</v>
      </c>
    </row>
    <row r="78" spans="2:18" x14ac:dyDescent="0.35">
      <c r="B78" s="32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R78" s="44">
        <f t="shared" si="22"/>
        <v>1.4180097118525098E-5</v>
      </c>
    </row>
    <row r="79" spans="2:18" x14ac:dyDescent="0.35">
      <c r="B79" s="32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R79" s="44">
        <f t="shared" si="22"/>
        <v>1.2048520322550197E-5</v>
      </c>
    </row>
    <row r="80" spans="2:18" x14ac:dyDescent="0.35">
      <c r="B80" s="32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R80" s="44">
        <f t="shared" si="22"/>
        <v>3.5410197636241792E-5</v>
      </c>
    </row>
    <row r="81" spans="2:18" x14ac:dyDescent="0.35">
      <c r="B81" s="32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R81" s="44">
        <f t="shared" si="22"/>
        <v>8.3259196113951437E-6</v>
      </c>
    </row>
    <row r="82" spans="2:18" x14ac:dyDescent="0.35">
      <c r="B82" s="32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R82" s="44">
        <f t="shared" si="22"/>
        <v>2.3537137378222945E-5</v>
      </c>
    </row>
    <row r="83" spans="2:18" x14ac:dyDescent="0.35">
      <c r="B83" s="32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R83" s="44">
        <f t="shared" si="22"/>
        <v>1.8296252098217128E-5</v>
      </c>
    </row>
    <row r="84" spans="2:18" x14ac:dyDescent="0.35">
      <c r="B84" s="32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R84" s="44">
        <f t="shared" ref="R84:R90" si="23">2*$R$11*$R12*$V35</f>
        <v>2.4541475473625486E-5</v>
      </c>
    </row>
    <row r="85" spans="2:18" x14ac:dyDescent="0.35">
      <c r="B85" s="32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R85" s="44">
        <f t="shared" si="23"/>
        <v>-7.2677360093445683E-6</v>
      </c>
    </row>
    <row r="86" spans="2:18" x14ac:dyDescent="0.35">
      <c r="B86" s="32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R86" s="44">
        <f t="shared" si="23"/>
        <v>3.1974858707754882E-5</v>
      </c>
    </row>
    <row r="87" spans="2:18" x14ac:dyDescent="0.35">
      <c r="B87" s="32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R87" s="44">
        <f t="shared" si="23"/>
        <v>-4.166205055264986E-6</v>
      </c>
    </row>
    <row r="88" spans="2:18" x14ac:dyDescent="0.35">
      <c r="B88" s="32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R88" s="44">
        <f t="shared" si="23"/>
        <v>1.447233693380684E-5</v>
      </c>
    </row>
    <row r="89" spans="2:18" x14ac:dyDescent="0.35">
      <c r="B89" s="32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R89" s="44">
        <f t="shared" si="23"/>
        <v>2.8173572195040918E-5</v>
      </c>
    </row>
    <row r="90" spans="2:18" x14ac:dyDescent="0.35">
      <c r="B90" s="32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R90" s="44">
        <f t="shared" si="23"/>
        <v>-1.7923890910206784E-5</v>
      </c>
    </row>
    <row r="91" spans="2:18" x14ac:dyDescent="0.35">
      <c r="B91" s="32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R91" s="44">
        <f t="shared" ref="R91:R96" si="24">2*$R$12*$R13*$W36</f>
        <v>-1.0160324934408914E-6</v>
      </c>
    </row>
    <row r="92" spans="2:18" x14ac:dyDescent="0.35">
      <c r="B92" s="32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R92" s="44">
        <f t="shared" si="24"/>
        <v>1.6562783621034091E-5</v>
      </c>
    </row>
    <row r="93" spans="2:18" x14ac:dyDescent="0.35">
      <c r="B93" s="32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R93" s="44">
        <f t="shared" si="24"/>
        <v>2.6200539836158424E-5</v>
      </c>
    </row>
    <row r="94" spans="2:18" x14ac:dyDescent="0.35">
      <c r="B94" s="32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R94" s="44">
        <f t="shared" si="24"/>
        <v>6.9205469883919684E-7</v>
      </c>
    </row>
    <row r="95" spans="2:18" x14ac:dyDescent="0.35">
      <c r="B95" s="32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R95" s="44">
        <f t="shared" si="24"/>
        <v>1.4401064513535385E-5</v>
      </c>
    </row>
    <row r="96" spans="2:18" x14ac:dyDescent="0.35">
      <c r="B96" s="32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R96" s="44">
        <f t="shared" si="24"/>
        <v>-1.6854071765724253E-6</v>
      </c>
    </row>
    <row r="97" spans="2:18" x14ac:dyDescent="0.35">
      <c r="B97" s="32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R97" s="44">
        <f>2*$R$13*$R14*$X37</f>
        <v>-3.4977528056631631E-7</v>
      </c>
    </row>
    <row r="98" spans="2:18" x14ac:dyDescent="0.35">
      <c r="B98" s="32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R98" s="44">
        <f>2*$R$13*$R15*$X38</f>
        <v>2.2670794226899629E-6</v>
      </c>
    </row>
    <row r="99" spans="2:18" x14ac:dyDescent="0.35">
      <c r="B99" s="32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R99" s="44">
        <f>2*$R$13*$R16*$X39</f>
        <v>5.3121347873877069E-6</v>
      </c>
    </row>
    <row r="100" spans="2:18" x14ac:dyDescent="0.35">
      <c r="B100" s="32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R100" s="44">
        <f>2*$R$13*$R17*$X40</f>
        <v>6.3234419159765468E-6</v>
      </c>
    </row>
    <row r="101" spans="2:18" x14ac:dyDescent="0.35">
      <c r="B101" s="32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R101" s="44">
        <f>2*$R$13*$R18*$X41</f>
        <v>1.9703727348060813E-5</v>
      </c>
    </row>
    <row r="102" spans="2:18" x14ac:dyDescent="0.35">
      <c r="B102" s="32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R102" s="44">
        <f>2*$R$14*$R15*$Y38</f>
        <v>2.0441777415153086E-5</v>
      </c>
    </row>
    <row r="103" spans="2:18" x14ac:dyDescent="0.35">
      <c r="B103" s="32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R103" s="44">
        <f>2*$R$14*$R16*$Y39</f>
        <v>1.1635649008620744E-5</v>
      </c>
    </row>
    <row r="104" spans="2:18" x14ac:dyDescent="0.35">
      <c r="B104" s="32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R104" s="44">
        <f>2*$R$14*$R17*$Y40</f>
        <v>2.8440537732904234E-5</v>
      </c>
    </row>
    <row r="105" spans="2:18" x14ac:dyDescent="0.35">
      <c r="B105" s="3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R105" s="44">
        <f>2*$R$14*$R18*$Y41</f>
        <v>-5.1894158869470828E-6</v>
      </c>
    </row>
    <row r="106" spans="2:18" x14ac:dyDescent="0.35">
      <c r="B106" s="32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R106" s="44">
        <f>2*$R$15*$R16*$Z39</f>
        <v>1.6606345570844493E-6</v>
      </c>
    </row>
    <row r="107" spans="2:18" x14ac:dyDescent="0.35">
      <c r="B107" s="32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R107" s="44">
        <f>2*$R$15*$R17*$Z40</f>
        <v>2.2725398507892148E-5</v>
      </c>
    </row>
    <row r="108" spans="2:18" x14ac:dyDescent="0.35">
      <c r="B108" s="32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R108" s="44">
        <f>2*$R$15*$R18*$Z41</f>
        <v>8.4518240414932489E-6</v>
      </c>
    </row>
    <row r="109" spans="2:18" x14ac:dyDescent="0.35">
      <c r="B109" s="32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R109" s="44">
        <f>2*$R$16*$R17*$AA40</f>
        <v>8.2480970966151766E-6</v>
      </c>
    </row>
    <row r="110" spans="2:18" x14ac:dyDescent="0.35">
      <c r="B110" s="32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R110" s="44">
        <f>2*$R$16*$R18*$AA41</f>
        <v>5.1069231228652687E-6</v>
      </c>
    </row>
    <row r="111" spans="2:18" x14ac:dyDescent="0.35">
      <c r="B111" s="32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R111" s="17">
        <f>2*$R$17*$R18*$AB41</f>
        <v>4.6346542541452358E-6</v>
      </c>
    </row>
    <row r="112" spans="2:18" x14ac:dyDescent="0.35">
      <c r="B112" s="32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R112" s="81">
        <f>SUM(R46:R111)</f>
        <v>1.0189178898744702E-3</v>
      </c>
    </row>
    <row r="113" spans="2:18" x14ac:dyDescent="0.35">
      <c r="B113" s="32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R113" s="17"/>
    </row>
    <row r="114" spans="2:18" x14ac:dyDescent="0.35">
      <c r="B114" s="32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2:18" x14ac:dyDescent="0.35">
      <c r="B115" s="32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2:18" x14ac:dyDescent="0.35">
      <c r="B116" s="32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2:18" x14ac:dyDescent="0.35">
      <c r="B117" s="32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2:18" x14ac:dyDescent="0.35">
      <c r="B118" s="32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2:18" x14ac:dyDescent="0.35">
      <c r="B119" s="32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2:18" x14ac:dyDescent="0.35">
      <c r="B120" s="32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2:18" x14ac:dyDescent="0.35">
      <c r="B121" s="32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2:18" x14ac:dyDescent="0.35">
      <c r="B122" s="32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2:18" x14ac:dyDescent="0.35">
      <c r="B123" s="32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2:18" x14ac:dyDescent="0.35">
      <c r="B124" s="32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2:18" x14ac:dyDescent="0.35">
      <c r="B125" s="32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2:18" x14ac:dyDescent="0.35">
      <c r="B126" s="32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2:18" x14ac:dyDescent="0.35">
      <c r="B127" s="32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2:18" x14ac:dyDescent="0.35">
      <c r="B128" s="32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2:13" x14ac:dyDescent="0.35">
      <c r="B129" s="32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2:13" x14ac:dyDescent="0.35">
      <c r="B130" s="32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2:13" x14ac:dyDescent="0.35">
      <c r="B131" s="32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2:13" x14ac:dyDescent="0.35">
      <c r="B132" s="32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2:13" x14ac:dyDescent="0.35">
      <c r="B133" s="32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2:13" x14ac:dyDescent="0.35">
      <c r="B134" s="32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2:13" x14ac:dyDescent="0.35">
      <c r="B135" s="32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2:13" x14ac:dyDescent="0.35">
      <c r="B136" s="32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2:13" x14ac:dyDescent="0.35">
      <c r="B137" s="32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2:13" x14ac:dyDescent="0.35">
      <c r="B138" s="32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  <row r="139" spans="2:13" x14ac:dyDescent="0.35">
      <c r="B139" s="32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</row>
    <row r="140" spans="2:13" x14ac:dyDescent="0.35">
      <c r="B140" s="32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2:13" x14ac:dyDescent="0.35">
      <c r="B141" s="32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</row>
    <row r="142" spans="2:13" x14ac:dyDescent="0.35">
      <c r="B142" s="32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2:13" x14ac:dyDescent="0.35">
      <c r="B143" s="32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2:13" x14ac:dyDescent="0.35">
      <c r="B144" s="32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2:13" x14ac:dyDescent="0.35">
      <c r="B145" s="32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2:13" x14ac:dyDescent="0.35">
      <c r="B146" s="32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2:13" x14ac:dyDescent="0.35">
      <c r="B147" s="32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2:13" x14ac:dyDescent="0.35">
      <c r="B148" s="32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2:13" x14ac:dyDescent="0.35">
      <c r="B149" s="32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2:13" x14ac:dyDescent="0.35">
      <c r="B150" s="32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2:13" x14ac:dyDescent="0.35">
      <c r="B151" s="32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2:13" x14ac:dyDescent="0.35">
      <c r="B152" s="32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2:13" x14ac:dyDescent="0.35">
      <c r="B153" s="32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2:13" x14ac:dyDescent="0.35">
      <c r="B154" s="32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2:13" x14ac:dyDescent="0.35">
      <c r="B155" s="32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2:13" x14ac:dyDescent="0.35">
      <c r="B156" s="32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2:13" x14ac:dyDescent="0.35">
      <c r="B157" s="32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2:13" x14ac:dyDescent="0.35">
      <c r="B158" s="32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2:13" x14ac:dyDescent="0.35">
      <c r="B159" s="32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2:13" x14ac:dyDescent="0.35">
      <c r="B160" s="32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2:13" x14ac:dyDescent="0.35">
      <c r="B161" s="32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2:13" x14ac:dyDescent="0.35">
      <c r="B162" s="32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2:13" x14ac:dyDescent="0.35">
      <c r="B163" s="32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2:13" x14ac:dyDescent="0.35">
      <c r="B164" s="32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2:13" x14ac:dyDescent="0.35">
      <c r="B165" s="32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2:13" x14ac:dyDescent="0.35">
      <c r="B166" s="32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2:13" x14ac:dyDescent="0.35">
      <c r="B167" s="32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2:13" x14ac:dyDescent="0.35">
      <c r="B168" s="32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2:13" x14ac:dyDescent="0.35">
      <c r="B169" s="32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2:13" x14ac:dyDescent="0.35">
      <c r="B170" s="32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2:13" x14ac:dyDescent="0.35">
      <c r="B171" s="32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2:13" x14ac:dyDescent="0.35">
      <c r="B172" s="32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2:13" x14ac:dyDescent="0.35">
      <c r="B173" s="32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2:13" x14ac:dyDescent="0.35">
      <c r="B174" s="32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2:13" x14ac:dyDescent="0.35">
      <c r="B175" s="32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2:13" x14ac:dyDescent="0.35">
      <c r="B176" s="32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2:13" x14ac:dyDescent="0.35">
      <c r="B177" s="32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2:13" x14ac:dyDescent="0.35">
      <c r="B178" s="32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2:13" x14ac:dyDescent="0.35">
      <c r="B179" s="32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2:13" x14ac:dyDescent="0.35">
      <c r="B180" s="32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2:13" x14ac:dyDescent="0.35">
      <c r="B181" s="32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2:13" x14ac:dyDescent="0.35">
      <c r="B182" s="32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2:13" x14ac:dyDescent="0.35">
      <c r="B183" s="32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2:13" x14ac:dyDescent="0.35">
      <c r="B184" s="32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2:13" x14ac:dyDescent="0.35">
      <c r="B185" s="32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2:13" x14ac:dyDescent="0.35">
      <c r="B186" s="32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2:13" x14ac:dyDescent="0.35">
      <c r="B187" s="32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2:13" x14ac:dyDescent="0.35">
      <c r="B188" s="32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2:13" x14ac:dyDescent="0.35">
      <c r="B189" s="32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2:13" x14ac:dyDescent="0.35">
      <c r="B190" s="32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2:13" x14ac:dyDescent="0.35">
      <c r="B191" s="32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2:13" x14ac:dyDescent="0.35">
      <c r="B192" s="32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2:13" x14ac:dyDescent="0.35">
      <c r="B193" s="32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2:13" x14ac:dyDescent="0.35">
      <c r="B194" s="32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2:13" x14ac:dyDescent="0.35">
      <c r="B195" s="32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2:13" x14ac:dyDescent="0.35">
      <c r="B196" s="32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2:13" x14ac:dyDescent="0.35">
      <c r="B197" s="32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2:13" x14ac:dyDescent="0.35">
      <c r="B198" s="32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2:13" x14ac:dyDescent="0.35">
      <c r="B199" s="32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2:13" x14ac:dyDescent="0.35">
      <c r="B200" s="32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2:13" x14ac:dyDescent="0.35">
      <c r="B201" s="32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  <row r="202" spans="2:13" x14ac:dyDescent="0.35">
      <c r="B202" s="32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</row>
    <row r="203" spans="2:13" x14ac:dyDescent="0.35">
      <c r="B203" s="32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</row>
    <row r="204" spans="2:13" x14ac:dyDescent="0.35">
      <c r="B204" s="32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</row>
    <row r="205" spans="2:13" x14ac:dyDescent="0.35">
      <c r="B205" s="32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</row>
    <row r="206" spans="2:13" x14ac:dyDescent="0.35">
      <c r="B206" s="32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</row>
    <row r="207" spans="2:13" x14ac:dyDescent="0.35">
      <c r="B207" s="32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</row>
    <row r="208" spans="2:13" x14ac:dyDescent="0.35">
      <c r="B208" s="32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</row>
    <row r="209" spans="2:13" x14ac:dyDescent="0.35">
      <c r="B209" s="32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</row>
    <row r="210" spans="2:13" x14ac:dyDescent="0.35">
      <c r="B210" s="32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</row>
    <row r="211" spans="2:13" x14ac:dyDescent="0.35">
      <c r="B211" s="32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</row>
    <row r="212" spans="2:13" x14ac:dyDescent="0.35">
      <c r="B212" s="32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</row>
    <row r="213" spans="2:13" x14ac:dyDescent="0.35">
      <c r="B213" s="32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</row>
    <row r="214" spans="2:13" x14ac:dyDescent="0.35">
      <c r="B214" s="32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</row>
    <row r="215" spans="2:13" x14ac:dyDescent="0.35">
      <c r="B215" s="32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</row>
    <row r="216" spans="2:13" x14ac:dyDescent="0.35">
      <c r="B216" s="32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</row>
    <row r="217" spans="2:13" x14ac:dyDescent="0.35">
      <c r="B217" s="32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</row>
    <row r="218" spans="2:13" x14ac:dyDescent="0.35">
      <c r="B218" s="32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</row>
    <row r="219" spans="2:13" x14ac:dyDescent="0.35">
      <c r="B219" s="32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</row>
    <row r="220" spans="2:13" x14ac:dyDescent="0.35">
      <c r="B220" s="32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</row>
    <row r="221" spans="2:13" x14ac:dyDescent="0.35">
      <c r="B221" s="32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</row>
    <row r="222" spans="2:13" x14ac:dyDescent="0.35">
      <c r="B222" s="32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</row>
    <row r="223" spans="2:13" x14ac:dyDescent="0.35">
      <c r="B223" s="32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</row>
    <row r="224" spans="2:13" x14ac:dyDescent="0.35">
      <c r="B224" s="32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</row>
    <row r="225" spans="2:13" x14ac:dyDescent="0.35">
      <c r="B225" s="32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</row>
    <row r="226" spans="2:13" x14ac:dyDescent="0.35">
      <c r="B226" s="32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</row>
    <row r="227" spans="2:13" x14ac:dyDescent="0.35">
      <c r="B227" s="32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</row>
    <row r="228" spans="2:13" x14ac:dyDescent="0.35">
      <c r="B228" s="32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</row>
    <row r="229" spans="2:13" x14ac:dyDescent="0.35">
      <c r="B229" s="32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</row>
    <row r="230" spans="2:13" x14ac:dyDescent="0.35">
      <c r="B230" s="32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</row>
    <row r="231" spans="2:13" x14ac:dyDescent="0.35">
      <c r="B231" s="32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</row>
    <row r="232" spans="2:13" x14ac:dyDescent="0.35">
      <c r="B232" s="32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</row>
    <row r="233" spans="2:13" x14ac:dyDescent="0.35">
      <c r="B233" s="32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</row>
    <row r="234" spans="2:13" x14ac:dyDescent="0.35">
      <c r="B234" s="32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</row>
    <row r="235" spans="2:13" x14ac:dyDescent="0.35">
      <c r="B235" s="32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</row>
    <row r="236" spans="2:13" x14ac:dyDescent="0.35">
      <c r="B236" s="32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</row>
    <row r="237" spans="2:13" x14ac:dyDescent="0.35">
      <c r="B237" s="32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</row>
    <row r="238" spans="2:13" x14ac:dyDescent="0.35">
      <c r="B238" s="32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</row>
    <row r="239" spans="2:13" x14ac:dyDescent="0.35">
      <c r="B239" s="32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</row>
    <row r="240" spans="2:13" x14ac:dyDescent="0.35">
      <c r="B240" s="32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</row>
    <row r="241" spans="2:13" x14ac:dyDescent="0.35">
      <c r="B241" s="32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</row>
    <row r="242" spans="2:13" x14ac:dyDescent="0.35">
      <c r="B242" s="32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</row>
    <row r="243" spans="2:13" x14ac:dyDescent="0.35">
      <c r="B243" s="32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</row>
    <row r="244" spans="2:13" x14ac:dyDescent="0.35">
      <c r="B244" s="32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</row>
    <row r="245" spans="2:13" x14ac:dyDescent="0.35">
      <c r="B245" s="32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</row>
    <row r="246" spans="2:13" x14ac:dyDescent="0.35">
      <c r="B246" s="32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</row>
    <row r="247" spans="2:13" x14ac:dyDescent="0.35">
      <c r="B247" s="32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</row>
    <row r="248" spans="2:13" x14ac:dyDescent="0.35">
      <c r="B248" s="32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</row>
    <row r="249" spans="2:13" x14ac:dyDescent="0.35">
      <c r="B249" s="32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</row>
    <row r="250" spans="2:13" x14ac:dyDescent="0.35">
      <c r="B250" s="32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</row>
    <row r="251" spans="2:13" x14ac:dyDescent="0.35">
      <c r="B251" s="32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</row>
    <row r="252" spans="2:13" x14ac:dyDescent="0.35">
      <c r="B252" s="32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</row>
    <row r="253" spans="2:13" x14ac:dyDescent="0.35">
      <c r="B253" s="32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</row>
    <row r="254" spans="2:13" x14ac:dyDescent="0.35">
      <c r="B254" s="32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</row>
    <row r="255" spans="2:13" x14ac:dyDescent="0.35">
      <c r="B255" s="32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</row>
    <row r="256" spans="2:13" x14ac:dyDescent="0.35">
      <c r="B256" s="32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</row>
    <row r="257" spans="2:13" x14ac:dyDescent="0.35">
      <c r="B257" s="32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</row>
    <row r="258" spans="2:13" x14ac:dyDescent="0.35">
      <c r="B258" s="32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</row>
    <row r="259" spans="2:13" x14ac:dyDescent="0.35">
      <c r="B259" s="32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</row>
    <row r="260" spans="2:13" x14ac:dyDescent="0.35">
      <c r="B260" s="32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</row>
    <row r="261" spans="2:13" x14ac:dyDescent="0.35">
      <c r="B261" s="32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</row>
    <row r="262" spans="2:13" x14ac:dyDescent="0.35">
      <c r="B262" s="32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</row>
    <row r="263" spans="2:13" x14ac:dyDescent="0.35">
      <c r="B263" s="32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</row>
    <row r="264" spans="2:13" x14ac:dyDescent="0.35">
      <c r="B264" s="32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</row>
    <row r="265" spans="2:13" x14ac:dyDescent="0.35">
      <c r="B265" s="32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</row>
    <row r="266" spans="2:13" x14ac:dyDescent="0.35">
      <c r="B266" s="32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</row>
    <row r="267" spans="2:13" x14ac:dyDescent="0.35">
      <c r="B267" s="32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</row>
    <row r="268" spans="2:13" x14ac:dyDescent="0.35">
      <c r="B268" s="32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</row>
    <row r="269" spans="2:13" x14ac:dyDescent="0.35">
      <c r="B269" s="32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</row>
    <row r="270" spans="2:13" x14ac:dyDescent="0.35">
      <c r="B270" s="32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</row>
    <row r="271" spans="2:13" x14ac:dyDescent="0.35">
      <c r="B271" s="32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</row>
    <row r="272" spans="2:13" x14ac:dyDescent="0.35">
      <c r="B272" s="32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</row>
    <row r="273" spans="2:13" x14ac:dyDescent="0.35">
      <c r="B273" s="32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</row>
    <row r="274" spans="2:13" x14ac:dyDescent="0.35">
      <c r="B274" s="32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</row>
    <row r="275" spans="2:13" x14ac:dyDescent="0.35">
      <c r="B275" s="32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</row>
    <row r="276" spans="2:13" x14ac:dyDescent="0.35">
      <c r="B276" s="32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</row>
    <row r="277" spans="2:13" x14ac:dyDescent="0.35">
      <c r="B277" s="32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</row>
    <row r="278" spans="2:13" x14ac:dyDescent="0.35">
      <c r="B278" s="32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</row>
    <row r="279" spans="2:13" x14ac:dyDescent="0.35">
      <c r="B279" s="32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</row>
    <row r="280" spans="2:13" x14ac:dyDescent="0.35">
      <c r="B280" s="32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</row>
    <row r="281" spans="2:13" x14ac:dyDescent="0.35">
      <c r="B281" s="32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</row>
    <row r="282" spans="2:13" x14ac:dyDescent="0.35">
      <c r="B282" s="32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</row>
    <row r="283" spans="2:13" x14ac:dyDescent="0.35">
      <c r="B283" s="32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</row>
    <row r="284" spans="2:13" x14ac:dyDescent="0.35">
      <c r="B284" s="32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</row>
    <row r="285" spans="2:13" x14ac:dyDescent="0.35">
      <c r="B285" s="32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</row>
    <row r="286" spans="2:13" x14ac:dyDescent="0.35">
      <c r="B286" s="32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</row>
    <row r="287" spans="2:13" x14ac:dyDescent="0.35">
      <c r="B287" s="32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</row>
    <row r="288" spans="2:13" x14ac:dyDescent="0.35">
      <c r="B288" s="32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</row>
    <row r="289" spans="2:13" x14ac:dyDescent="0.35">
      <c r="B289" s="32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</row>
    <row r="290" spans="2:13" x14ac:dyDescent="0.35">
      <c r="B290" s="32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</row>
    <row r="291" spans="2:13" x14ac:dyDescent="0.35">
      <c r="B291" s="32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</row>
    <row r="292" spans="2:13" x14ac:dyDescent="0.35">
      <c r="B292" s="32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</row>
    <row r="293" spans="2:13" x14ac:dyDescent="0.35">
      <c r="B293" s="32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</row>
    <row r="294" spans="2:13" x14ac:dyDescent="0.35">
      <c r="B294" s="32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</row>
    <row r="295" spans="2:13" x14ac:dyDescent="0.35">
      <c r="B295" s="32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</row>
    <row r="296" spans="2:13" x14ac:dyDescent="0.35">
      <c r="B296" s="32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</row>
    <row r="297" spans="2:13" x14ac:dyDescent="0.35">
      <c r="B297" s="32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</row>
    <row r="298" spans="2:13" x14ac:dyDescent="0.35">
      <c r="B298" s="32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</row>
    <row r="299" spans="2:13" x14ac:dyDescent="0.35">
      <c r="B299" s="32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</row>
    <row r="300" spans="2:13" x14ac:dyDescent="0.35">
      <c r="B300" s="32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</row>
    <row r="301" spans="2:13" x14ac:dyDescent="0.35">
      <c r="B301" s="32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</row>
    <row r="302" spans="2:13" x14ac:dyDescent="0.35">
      <c r="B302" s="32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</row>
    <row r="303" spans="2:13" x14ac:dyDescent="0.35">
      <c r="B303" s="32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</row>
    <row r="304" spans="2:13" x14ac:dyDescent="0.35">
      <c r="B304" s="32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</row>
    <row r="305" spans="2:13" x14ac:dyDescent="0.35">
      <c r="B305" s="32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</row>
    <row r="306" spans="2:13" x14ac:dyDescent="0.35">
      <c r="B306" s="32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</row>
    <row r="307" spans="2:13" x14ac:dyDescent="0.35">
      <c r="B307" s="32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</row>
    <row r="308" spans="2:13" x14ac:dyDescent="0.35">
      <c r="B308" s="32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</row>
    <row r="309" spans="2:13" x14ac:dyDescent="0.35">
      <c r="B309" s="32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</row>
    <row r="310" spans="2:13" x14ac:dyDescent="0.35">
      <c r="B310" s="32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</row>
    <row r="311" spans="2:13" x14ac:dyDescent="0.35">
      <c r="B311" s="32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</row>
    <row r="312" spans="2:13" x14ac:dyDescent="0.35">
      <c r="B312" s="32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</row>
    <row r="313" spans="2:13" x14ac:dyDescent="0.35">
      <c r="B313" s="32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</row>
    <row r="314" spans="2:13" x14ac:dyDescent="0.35">
      <c r="B314" s="32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</row>
    <row r="315" spans="2:13" x14ac:dyDescent="0.35">
      <c r="B315" s="32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</row>
    <row r="316" spans="2:13" x14ac:dyDescent="0.35">
      <c r="B316" s="32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</row>
    <row r="317" spans="2:13" x14ac:dyDescent="0.35">
      <c r="B317" s="32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</row>
    <row r="318" spans="2:13" x14ac:dyDescent="0.35">
      <c r="B318" s="32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</row>
    <row r="319" spans="2:13" x14ac:dyDescent="0.35">
      <c r="B319" s="32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</row>
    <row r="320" spans="2:13" x14ac:dyDescent="0.35">
      <c r="B320" s="32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</row>
    <row r="321" spans="2:13" x14ac:dyDescent="0.35">
      <c r="B321" s="32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</row>
    <row r="322" spans="2:13" x14ac:dyDescent="0.35">
      <c r="B322" s="32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</row>
    <row r="323" spans="2:13" x14ac:dyDescent="0.35">
      <c r="B323" s="32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</row>
    <row r="324" spans="2:13" x14ac:dyDescent="0.35">
      <c r="B324" s="32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</row>
    <row r="325" spans="2:13" x14ac:dyDescent="0.35">
      <c r="B325" s="32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</row>
    <row r="326" spans="2:13" x14ac:dyDescent="0.35">
      <c r="B326" s="32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</row>
    <row r="327" spans="2:13" x14ac:dyDescent="0.35">
      <c r="B327" s="32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</row>
    <row r="328" spans="2:13" x14ac:dyDescent="0.35">
      <c r="B328" s="32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</row>
    <row r="329" spans="2:13" x14ac:dyDescent="0.35">
      <c r="B329" s="32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</row>
    <row r="330" spans="2:13" x14ac:dyDescent="0.35">
      <c r="B330" s="32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</row>
    <row r="331" spans="2:13" x14ac:dyDescent="0.35">
      <c r="B331" s="32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</row>
    <row r="332" spans="2:13" x14ac:dyDescent="0.35">
      <c r="B332" s="32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</row>
    <row r="333" spans="2:13" x14ac:dyDescent="0.35">
      <c r="B333" s="32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</row>
    <row r="334" spans="2:13" x14ac:dyDescent="0.35">
      <c r="B334" s="32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</row>
    <row r="335" spans="2:13" x14ac:dyDescent="0.35">
      <c r="B335" s="32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</row>
    <row r="336" spans="2:13" x14ac:dyDescent="0.35">
      <c r="B336" s="32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</row>
    <row r="337" spans="2:13" x14ac:dyDescent="0.35">
      <c r="B337" s="32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</row>
    <row r="338" spans="2:13" x14ac:dyDescent="0.35">
      <c r="B338" s="32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</row>
    <row r="339" spans="2:13" x14ac:dyDescent="0.35">
      <c r="B339" s="32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</row>
    <row r="340" spans="2:13" x14ac:dyDescent="0.35">
      <c r="B340" s="32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</row>
    <row r="341" spans="2:13" x14ac:dyDescent="0.35">
      <c r="B341" s="32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</row>
    <row r="342" spans="2:13" x14ac:dyDescent="0.35">
      <c r="B342" s="32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</row>
    <row r="343" spans="2:13" x14ac:dyDescent="0.35">
      <c r="B343" s="32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</row>
    <row r="344" spans="2:13" x14ac:dyDescent="0.35">
      <c r="B344" s="32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</row>
    <row r="345" spans="2:13" x14ac:dyDescent="0.35">
      <c r="B345" s="32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</row>
    <row r="346" spans="2:13" x14ac:dyDescent="0.35">
      <c r="B346" s="32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</row>
    <row r="347" spans="2:13" x14ac:dyDescent="0.35">
      <c r="B347" s="32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</row>
    <row r="348" spans="2:13" x14ac:dyDescent="0.35">
      <c r="B348" s="32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</row>
    <row r="349" spans="2:13" x14ac:dyDescent="0.35">
      <c r="B349" s="32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</row>
    <row r="350" spans="2:13" x14ac:dyDescent="0.35">
      <c r="B350" s="32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</row>
    <row r="351" spans="2:13" x14ac:dyDescent="0.35">
      <c r="B351" s="32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</row>
    <row r="352" spans="2:13" x14ac:dyDescent="0.35">
      <c r="B352" s="32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</row>
    <row r="353" spans="2:13" x14ac:dyDescent="0.35">
      <c r="B353" s="32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</row>
    <row r="354" spans="2:13" x14ac:dyDescent="0.35">
      <c r="B354" s="32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</row>
    <row r="355" spans="2:13" x14ac:dyDescent="0.35">
      <c r="B355" s="32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</row>
    <row r="356" spans="2:13" x14ac:dyDescent="0.35">
      <c r="B356" s="32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</row>
    <row r="357" spans="2:13" x14ac:dyDescent="0.35">
      <c r="B357" s="32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</row>
    <row r="358" spans="2:13" x14ac:dyDescent="0.35">
      <c r="B358" s="32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</row>
    <row r="359" spans="2:13" x14ac:dyDescent="0.35">
      <c r="B359" s="32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</row>
    <row r="360" spans="2:13" x14ac:dyDescent="0.35">
      <c r="B360" s="32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</row>
    <row r="361" spans="2:13" x14ac:dyDescent="0.35">
      <c r="B361" s="32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</row>
    <row r="362" spans="2:13" x14ac:dyDescent="0.35">
      <c r="B362" s="32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</row>
    <row r="363" spans="2:13" x14ac:dyDescent="0.35">
      <c r="B363" s="32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</row>
    <row r="364" spans="2:13" x14ac:dyDescent="0.35">
      <c r="B364" s="32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</row>
    <row r="365" spans="2:13" x14ac:dyDescent="0.35">
      <c r="B365" s="32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</row>
    <row r="366" spans="2:13" x14ac:dyDescent="0.35">
      <c r="B366" s="32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</row>
    <row r="367" spans="2:13" x14ac:dyDescent="0.35">
      <c r="B367" s="32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</row>
    <row r="368" spans="2:13" x14ac:dyDescent="0.35">
      <c r="B368" s="32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</row>
    <row r="369" spans="2:13" x14ac:dyDescent="0.35">
      <c r="B369" s="32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</row>
    <row r="370" spans="2:13" x14ac:dyDescent="0.35">
      <c r="B370" s="32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</row>
    <row r="371" spans="2:13" x14ac:dyDescent="0.35">
      <c r="B371" s="32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</row>
    <row r="372" spans="2:13" x14ac:dyDescent="0.35">
      <c r="B372" s="32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</row>
    <row r="373" spans="2:13" x14ac:dyDescent="0.35">
      <c r="B373" s="32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</row>
    <row r="374" spans="2:13" x14ac:dyDescent="0.35">
      <c r="B374" s="32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</row>
    <row r="375" spans="2:13" x14ac:dyDescent="0.35">
      <c r="B375" s="32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</row>
    <row r="376" spans="2:13" x14ac:dyDescent="0.35">
      <c r="B376" s="32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</row>
    <row r="377" spans="2:13" x14ac:dyDescent="0.35">
      <c r="B377" s="32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</row>
    <row r="378" spans="2:13" x14ac:dyDescent="0.35">
      <c r="B378" s="32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</row>
    <row r="379" spans="2:13" x14ac:dyDescent="0.35">
      <c r="B379" s="32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</row>
    <row r="380" spans="2:13" x14ac:dyDescent="0.35">
      <c r="B380" s="32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</row>
    <row r="381" spans="2:13" x14ac:dyDescent="0.35">
      <c r="B381" s="32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</row>
    <row r="382" spans="2:13" x14ac:dyDescent="0.35">
      <c r="B382" s="32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</row>
    <row r="383" spans="2:13" x14ac:dyDescent="0.35">
      <c r="B383" s="32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</row>
    <row r="384" spans="2:13" x14ac:dyDescent="0.35">
      <c r="B384" s="32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</row>
    <row r="385" spans="2:13" x14ac:dyDescent="0.35">
      <c r="B385" s="32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</row>
    <row r="386" spans="2:13" x14ac:dyDescent="0.35">
      <c r="B386" s="32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</row>
    <row r="387" spans="2:13" x14ac:dyDescent="0.35">
      <c r="B387" s="32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</row>
    <row r="388" spans="2:13" x14ac:dyDescent="0.35">
      <c r="B388" s="32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</row>
    <row r="389" spans="2:13" x14ac:dyDescent="0.35">
      <c r="B389" s="32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</row>
    <row r="390" spans="2:13" x14ac:dyDescent="0.35">
      <c r="B390" s="32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</row>
    <row r="391" spans="2:13" x14ac:dyDescent="0.35">
      <c r="B391" s="32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</row>
    <row r="392" spans="2:13" x14ac:dyDescent="0.35">
      <c r="B392" s="32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</row>
    <row r="393" spans="2:13" x14ac:dyDescent="0.35">
      <c r="B393" s="32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</row>
    <row r="394" spans="2:13" x14ac:dyDescent="0.35">
      <c r="B394" s="32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</row>
    <row r="395" spans="2:13" x14ac:dyDescent="0.35">
      <c r="B395" s="32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</row>
    <row r="396" spans="2:13" x14ac:dyDescent="0.35">
      <c r="B396" s="32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</row>
    <row r="397" spans="2:13" x14ac:dyDescent="0.35">
      <c r="B397" s="32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</row>
    <row r="398" spans="2:13" x14ac:dyDescent="0.35">
      <c r="B398" s="32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</row>
    <row r="399" spans="2:13" x14ac:dyDescent="0.35">
      <c r="B399" s="32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</row>
    <row r="400" spans="2:13" x14ac:dyDescent="0.35">
      <c r="B400" s="32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</row>
    <row r="401" spans="2:13" x14ac:dyDescent="0.35">
      <c r="B401" s="32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</row>
    <row r="402" spans="2:13" x14ac:dyDescent="0.35">
      <c r="B402" s="32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</row>
    <row r="403" spans="2:13" x14ac:dyDescent="0.35">
      <c r="B403" s="32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</row>
    <row r="404" spans="2:13" x14ac:dyDescent="0.35">
      <c r="B404" s="32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</row>
    <row r="405" spans="2:13" x14ac:dyDescent="0.35">
      <c r="B405" s="32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</row>
    <row r="406" spans="2:13" x14ac:dyDescent="0.35">
      <c r="B406" s="32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</row>
    <row r="407" spans="2:13" x14ac:dyDescent="0.35">
      <c r="B407" s="32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</row>
    <row r="408" spans="2:13" x14ac:dyDescent="0.35">
      <c r="B408" s="32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</row>
    <row r="409" spans="2:13" x14ac:dyDescent="0.35">
      <c r="B409" s="32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</row>
    <row r="410" spans="2:13" x14ac:dyDescent="0.35">
      <c r="B410" s="32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</row>
    <row r="411" spans="2:13" x14ac:dyDescent="0.35">
      <c r="B411" s="32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</row>
    <row r="412" spans="2:13" x14ac:dyDescent="0.35">
      <c r="B412" s="32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</row>
    <row r="413" spans="2:13" x14ac:dyDescent="0.35">
      <c r="B413" s="32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</row>
    <row r="414" spans="2:13" x14ac:dyDescent="0.35">
      <c r="B414" s="32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</row>
    <row r="415" spans="2:13" x14ac:dyDescent="0.35">
      <c r="B415" s="32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</row>
    <row r="416" spans="2:13" x14ac:dyDescent="0.35">
      <c r="B416" s="32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</row>
    <row r="417" spans="2:13" x14ac:dyDescent="0.35">
      <c r="B417" s="32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</row>
    <row r="418" spans="2:13" x14ac:dyDescent="0.35">
      <c r="B418" s="32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</row>
    <row r="419" spans="2:13" x14ac:dyDescent="0.35">
      <c r="B419" s="32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</row>
    <row r="420" spans="2:13" x14ac:dyDescent="0.35">
      <c r="B420" s="32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</row>
    <row r="421" spans="2:13" x14ac:dyDescent="0.35">
      <c r="B421" s="32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</row>
    <row r="422" spans="2:13" x14ac:dyDescent="0.35">
      <c r="B422" s="32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</row>
    <row r="423" spans="2:13" x14ac:dyDescent="0.35">
      <c r="B423" s="32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</row>
    <row r="424" spans="2:13" x14ac:dyDescent="0.35">
      <c r="B424" s="32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</row>
    <row r="425" spans="2:13" x14ac:dyDescent="0.35">
      <c r="B425" s="32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</row>
    <row r="426" spans="2:13" x14ac:dyDescent="0.35">
      <c r="B426" s="32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</row>
    <row r="427" spans="2:13" x14ac:dyDescent="0.35">
      <c r="B427" s="32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</row>
    <row r="428" spans="2:13" x14ac:dyDescent="0.35">
      <c r="B428" s="32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</row>
    <row r="429" spans="2:13" x14ac:dyDescent="0.35">
      <c r="B429" s="32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</row>
    <row r="430" spans="2:13" x14ac:dyDescent="0.35">
      <c r="B430" s="32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</row>
    <row r="431" spans="2:13" x14ac:dyDescent="0.35">
      <c r="B431" s="32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</row>
    <row r="432" spans="2:13" x14ac:dyDescent="0.35">
      <c r="B432" s="32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</row>
    <row r="433" spans="2:13" x14ac:dyDescent="0.35">
      <c r="B433" s="32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</row>
    <row r="434" spans="2:13" x14ac:dyDescent="0.35">
      <c r="B434" s="32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</row>
    <row r="435" spans="2:13" x14ac:dyDescent="0.35">
      <c r="B435" s="32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</row>
    <row r="436" spans="2:13" x14ac:dyDescent="0.35">
      <c r="B436" s="32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</row>
    <row r="437" spans="2:13" x14ac:dyDescent="0.35">
      <c r="B437" s="32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</row>
    <row r="438" spans="2:13" x14ac:dyDescent="0.35">
      <c r="B438" s="32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</row>
    <row r="439" spans="2:13" x14ac:dyDescent="0.35">
      <c r="B439" s="32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</row>
    <row r="440" spans="2:13" x14ac:dyDescent="0.35">
      <c r="B440" s="32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</row>
    <row r="441" spans="2:13" x14ac:dyDescent="0.35">
      <c r="B441" s="32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</row>
    <row r="442" spans="2:13" x14ac:dyDescent="0.35">
      <c r="B442" s="32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</row>
    <row r="443" spans="2:13" x14ac:dyDescent="0.35">
      <c r="B443" s="32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</row>
    <row r="444" spans="2:13" x14ac:dyDescent="0.35">
      <c r="B444" s="32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</row>
    <row r="445" spans="2:13" x14ac:dyDescent="0.35">
      <c r="B445" s="32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</row>
    <row r="446" spans="2:13" x14ac:dyDescent="0.35">
      <c r="B446" s="32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</row>
    <row r="447" spans="2:13" x14ac:dyDescent="0.35">
      <c r="B447" s="32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</row>
    <row r="448" spans="2:13" x14ac:dyDescent="0.35">
      <c r="B448" s="32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</row>
    <row r="449" spans="2:13" x14ac:dyDescent="0.35">
      <c r="B449" s="32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</row>
    <row r="450" spans="2:13" x14ac:dyDescent="0.35">
      <c r="B450" s="32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</row>
    <row r="451" spans="2:13" x14ac:dyDescent="0.35">
      <c r="B451" s="32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</row>
    <row r="452" spans="2:13" x14ac:dyDescent="0.35">
      <c r="B452" s="32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</row>
    <row r="453" spans="2:13" x14ac:dyDescent="0.35">
      <c r="B453" s="32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</row>
    <row r="454" spans="2:13" x14ac:dyDescent="0.35">
      <c r="B454" s="32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</row>
    <row r="455" spans="2:13" x14ac:dyDescent="0.35">
      <c r="B455" s="32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</row>
    <row r="456" spans="2:13" x14ac:dyDescent="0.35">
      <c r="B456" s="32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</row>
    <row r="457" spans="2:13" x14ac:dyDescent="0.35">
      <c r="B457" s="32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</row>
    <row r="458" spans="2:13" x14ac:dyDescent="0.35">
      <c r="B458" s="32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</row>
    <row r="459" spans="2:13" x14ac:dyDescent="0.35">
      <c r="B459" s="32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</row>
    <row r="460" spans="2:13" x14ac:dyDescent="0.35">
      <c r="B460" s="32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</row>
    <row r="461" spans="2:13" x14ac:dyDescent="0.35">
      <c r="B461" s="32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</row>
    <row r="462" spans="2:13" x14ac:dyDescent="0.35">
      <c r="B462" s="32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</row>
    <row r="463" spans="2:13" x14ac:dyDescent="0.35">
      <c r="B463" s="32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</row>
    <row r="464" spans="2:13" x14ac:dyDescent="0.35">
      <c r="B464" s="32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</row>
    <row r="465" spans="2:13" x14ac:dyDescent="0.35">
      <c r="B465" s="32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</row>
    <row r="466" spans="2:13" x14ac:dyDescent="0.35">
      <c r="B466" s="32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</row>
    <row r="467" spans="2:13" x14ac:dyDescent="0.35">
      <c r="B467" s="32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</row>
    <row r="468" spans="2:13" x14ac:dyDescent="0.35">
      <c r="B468" s="32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</row>
    <row r="469" spans="2:13" x14ac:dyDescent="0.35">
      <c r="B469" s="32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</row>
    <row r="470" spans="2:13" x14ac:dyDescent="0.35">
      <c r="B470" s="32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</row>
    <row r="471" spans="2:13" x14ac:dyDescent="0.35">
      <c r="B471" s="32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</row>
    <row r="472" spans="2:13" x14ac:dyDescent="0.35">
      <c r="B472" s="32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</row>
    <row r="473" spans="2:13" x14ac:dyDescent="0.35">
      <c r="B473" s="32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</row>
    <row r="474" spans="2:13" x14ac:dyDescent="0.35">
      <c r="B474" s="32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</row>
    <row r="475" spans="2:13" x14ac:dyDescent="0.35">
      <c r="B475" s="32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</row>
    <row r="476" spans="2:13" x14ac:dyDescent="0.35">
      <c r="B476" s="32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</row>
    <row r="477" spans="2:13" x14ac:dyDescent="0.35">
      <c r="B477" s="32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</row>
    <row r="478" spans="2:13" x14ac:dyDescent="0.35">
      <c r="B478" s="32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</row>
    <row r="479" spans="2:13" x14ac:dyDescent="0.35">
      <c r="B479" s="32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</row>
    <row r="480" spans="2:13" x14ac:dyDescent="0.35">
      <c r="B480" s="32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</row>
    <row r="481" spans="2:13" x14ac:dyDescent="0.35">
      <c r="B481" s="32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</row>
    <row r="482" spans="2:13" x14ac:dyDescent="0.35">
      <c r="B482" s="32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</row>
    <row r="483" spans="2:13" x14ac:dyDescent="0.35">
      <c r="B483" s="32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</row>
    <row r="484" spans="2:13" x14ac:dyDescent="0.35">
      <c r="B484" s="32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</row>
    <row r="485" spans="2:13" x14ac:dyDescent="0.35">
      <c r="B485" s="32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</row>
    <row r="486" spans="2:13" x14ac:dyDescent="0.35">
      <c r="B486" s="32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</row>
    <row r="487" spans="2:13" x14ac:dyDescent="0.35">
      <c r="B487" s="32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</row>
    <row r="488" spans="2:13" x14ac:dyDescent="0.35">
      <c r="B488" s="32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</row>
    <row r="489" spans="2:13" x14ac:dyDescent="0.35">
      <c r="B489" s="32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</row>
    <row r="490" spans="2:13" x14ac:dyDescent="0.35">
      <c r="B490" s="32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</row>
    <row r="491" spans="2:13" x14ac:dyDescent="0.35">
      <c r="B491" s="32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</row>
    <row r="492" spans="2:13" x14ac:dyDescent="0.35">
      <c r="B492" s="32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</row>
    <row r="493" spans="2:13" x14ac:dyDescent="0.35">
      <c r="B493" s="32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</row>
    <row r="494" spans="2:13" x14ac:dyDescent="0.35">
      <c r="B494" s="32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</row>
    <row r="495" spans="2:13" x14ac:dyDescent="0.35">
      <c r="B495" s="32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</row>
    <row r="496" spans="2:13" x14ac:dyDescent="0.35">
      <c r="B496" s="32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</row>
    <row r="497" spans="2:13" x14ac:dyDescent="0.35">
      <c r="B497" s="32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</row>
    <row r="498" spans="2:13" x14ac:dyDescent="0.35">
      <c r="B498" s="32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</row>
    <row r="499" spans="2:13" x14ac:dyDescent="0.35">
      <c r="B499" s="32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</row>
    <row r="500" spans="2:13" x14ac:dyDescent="0.35">
      <c r="B500" s="32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</row>
    <row r="501" spans="2:13" x14ac:dyDescent="0.35">
      <c r="B501" s="32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</row>
    <row r="502" spans="2:13" x14ac:dyDescent="0.35">
      <c r="B502" s="32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</row>
    <row r="503" spans="2:13" x14ac:dyDescent="0.35">
      <c r="B503" s="32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</row>
    <row r="504" spans="2:13" x14ac:dyDescent="0.35">
      <c r="B504" s="32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</row>
    <row r="505" spans="2:13" x14ac:dyDescent="0.35">
      <c r="B505" s="32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</row>
    <row r="506" spans="2:13" x14ac:dyDescent="0.35">
      <c r="B506" s="32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</row>
    <row r="507" spans="2:13" x14ac:dyDescent="0.35">
      <c r="B507" s="32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</row>
    <row r="508" spans="2:13" x14ac:dyDescent="0.35">
      <c r="B508" s="32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</row>
    <row r="509" spans="2:13" x14ac:dyDescent="0.35">
      <c r="B509" s="32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</row>
    <row r="510" spans="2:13" x14ac:dyDescent="0.35">
      <c r="B510" s="32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</row>
    <row r="511" spans="2:13" x14ac:dyDescent="0.35">
      <c r="B511" s="32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</row>
    <row r="512" spans="2:13" x14ac:dyDescent="0.35">
      <c r="B512" s="32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</row>
    <row r="513" spans="2:13" x14ac:dyDescent="0.35">
      <c r="B513" s="32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</row>
    <row r="514" spans="2:13" x14ac:dyDescent="0.35">
      <c r="B514" s="32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</row>
    <row r="515" spans="2:13" x14ac:dyDescent="0.35">
      <c r="B515" s="32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</row>
    <row r="516" spans="2:13" x14ac:dyDescent="0.35">
      <c r="B516" s="32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</row>
    <row r="517" spans="2:13" x14ac:dyDescent="0.35">
      <c r="B517" s="32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</row>
    <row r="518" spans="2:13" x14ac:dyDescent="0.35">
      <c r="B518" s="32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</row>
    <row r="519" spans="2:13" x14ac:dyDescent="0.35">
      <c r="B519" s="32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</row>
    <row r="520" spans="2:13" x14ac:dyDescent="0.35">
      <c r="B520" s="32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</row>
    <row r="521" spans="2:13" x14ac:dyDescent="0.35">
      <c r="B521" s="32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</row>
    <row r="522" spans="2:13" x14ac:dyDescent="0.35">
      <c r="B522" s="32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</row>
    <row r="523" spans="2:13" x14ac:dyDescent="0.35">
      <c r="B523" s="32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</row>
    <row r="524" spans="2:13" x14ac:dyDescent="0.35">
      <c r="B524" s="32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</row>
    <row r="525" spans="2:13" x14ac:dyDescent="0.35">
      <c r="B525" s="32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</row>
    <row r="526" spans="2:13" x14ac:dyDescent="0.35">
      <c r="B526" s="32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</row>
    <row r="527" spans="2:13" x14ac:dyDescent="0.35">
      <c r="B527" s="32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</row>
    <row r="528" spans="2:13" x14ac:dyDescent="0.35">
      <c r="B528" s="32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</row>
    <row r="529" spans="2:13" x14ac:dyDescent="0.35">
      <c r="B529" s="32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</row>
    <row r="530" spans="2:13" x14ac:dyDescent="0.35">
      <c r="B530" s="32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</row>
    <row r="531" spans="2:13" x14ac:dyDescent="0.35">
      <c r="B531" s="32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</row>
    <row r="532" spans="2:13" x14ac:dyDescent="0.35">
      <c r="B532" s="32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</row>
    <row r="533" spans="2:13" x14ac:dyDescent="0.35">
      <c r="B533" s="32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</row>
    <row r="534" spans="2:13" x14ac:dyDescent="0.35">
      <c r="B534" s="32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</row>
    <row r="535" spans="2:13" x14ac:dyDescent="0.35">
      <c r="B535" s="32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</row>
    <row r="536" spans="2:13" x14ac:dyDescent="0.35">
      <c r="B536" s="32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</row>
    <row r="537" spans="2:13" x14ac:dyDescent="0.35">
      <c r="B537" s="32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</row>
    <row r="538" spans="2:13" x14ac:dyDescent="0.35">
      <c r="B538" s="32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</row>
    <row r="539" spans="2:13" x14ac:dyDescent="0.35">
      <c r="B539" s="32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</row>
    <row r="540" spans="2:13" x14ac:dyDescent="0.35">
      <c r="B540" s="32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</row>
    <row r="541" spans="2:13" x14ac:dyDescent="0.35">
      <c r="B541" s="32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</row>
    <row r="542" spans="2:13" x14ac:dyDescent="0.35">
      <c r="B542" s="32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</row>
    <row r="543" spans="2:13" x14ac:dyDescent="0.35">
      <c r="B543" s="32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</row>
    <row r="544" spans="2:13" x14ac:dyDescent="0.35">
      <c r="B544" s="32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</row>
    <row r="545" spans="2:13" x14ac:dyDescent="0.35">
      <c r="B545" s="32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</row>
    <row r="546" spans="2:13" x14ac:dyDescent="0.35">
      <c r="B546" s="32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</row>
    <row r="547" spans="2:13" x14ac:dyDescent="0.35">
      <c r="B547" s="32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</row>
    <row r="548" spans="2:13" x14ac:dyDescent="0.35">
      <c r="B548" s="32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</row>
    <row r="549" spans="2:13" x14ac:dyDescent="0.35">
      <c r="B549" s="32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</row>
    <row r="550" spans="2:13" x14ac:dyDescent="0.35">
      <c r="B550" s="32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</row>
    <row r="551" spans="2:13" x14ac:dyDescent="0.35">
      <c r="B551" s="32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</row>
    <row r="552" spans="2:13" x14ac:dyDescent="0.35">
      <c r="B552" s="32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</row>
    <row r="553" spans="2:13" x14ac:dyDescent="0.35">
      <c r="B553" s="32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</row>
    <row r="554" spans="2:13" x14ac:dyDescent="0.35">
      <c r="B554" s="32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</row>
    <row r="555" spans="2:13" x14ac:dyDescent="0.35">
      <c r="B555" s="32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</row>
    <row r="556" spans="2:13" x14ac:dyDescent="0.35">
      <c r="B556" s="32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</row>
    <row r="557" spans="2:13" x14ac:dyDescent="0.35">
      <c r="B557" s="32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</row>
    <row r="558" spans="2:13" x14ac:dyDescent="0.35">
      <c r="B558" s="32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</row>
    <row r="559" spans="2:13" x14ac:dyDescent="0.35">
      <c r="B559" s="32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</row>
    <row r="560" spans="2:13" x14ac:dyDescent="0.35">
      <c r="B560" s="32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</row>
    <row r="561" spans="2:13" x14ac:dyDescent="0.35">
      <c r="B561" s="32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</row>
    <row r="562" spans="2:13" x14ac:dyDescent="0.35">
      <c r="B562" s="32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</row>
    <row r="563" spans="2:13" x14ac:dyDescent="0.35">
      <c r="B563" s="32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</row>
    <row r="564" spans="2:13" x14ac:dyDescent="0.35">
      <c r="B564" s="32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</row>
    <row r="565" spans="2:13" x14ac:dyDescent="0.35">
      <c r="B565" s="32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</row>
    <row r="566" spans="2:13" x14ac:dyDescent="0.35">
      <c r="B566" s="32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</row>
    <row r="567" spans="2:13" x14ac:dyDescent="0.35">
      <c r="B567" s="32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</row>
    <row r="568" spans="2:13" x14ac:dyDescent="0.35">
      <c r="B568" s="32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</row>
    <row r="569" spans="2:13" x14ac:dyDescent="0.35">
      <c r="B569" s="32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</row>
    <row r="570" spans="2:13" x14ac:dyDescent="0.35">
      <c r="B570" s="32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</row>
    <row r="571" spans="2:13" x14ac:dyDescent="0.35">
      <c r="B571" s="32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</row>
    <row r="572" spans="2:13" x14ac:dyDescent="0.35">
      <c r="B572" s="32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</row>
    <row r="573" spans="2:13" x14ac:dyDescent="0.35">
      <c r="B573" s="32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</row>
    <row r="574" spans="2:13" x14ac:dyDescent="0.35">
      <c r="B574" s="32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</row>
    <row r="575" spans="2:13" x14ac:dyDescent="0.35">
      <c r="B575" s="32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</row>
    <row r="576" spans="2:13" x14ac:dyDescent="0.35">
      <c r="B576" s="32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</row>
    <row r="577" spans="2:13" x14ac:dyDescent="0.35">
      <c r="B577" s="32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</row>
    <row r="578" spans="2:13" x14ac:dyDescent="0.35">
      <c r="B578" s="32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</row>
    <row r="579" spans="2:13" x14ac:dyDescent="0.35">
      <c r="B579" s="32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</row>
    <row r="580" spans="2:13" x14ac:dyDescent="0.35">
      <c r="B580" s="32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</row>
    <row r="581" spans="2:13" x14ac:dyDescent="0.35">
      <c r="B581" s="32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</row>
    <row r="582" spans="2:13" x14ac:dyDescent="0.35">
      <c r="B582" s="32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</row>
    <row r="583" spans="2:13" x14ac:dyDescent="0.35">
      <c r="B583" s="32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</row>
    <row r="584" spans="2:13" x14ac:dyDescent="0.35">
      <c r="B584" s="32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</row>
    <row r="585" spans="2:13" x14ac:dyDescent="0.35">
      <c r="B585" s="32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</row>
    <row r="586" spans="2:13" x14ac:dyDescent="0.35">
      <c r="B586" s="32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</row>
    <row r="587" spans="2:13" x14ac:dyDescent="0.35">
      <c r="B587" s="32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</row>
    <row r="588" spans="2:13" x14ac:dyDescent="0.35">
      <c r="B588" s="32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</row>
    <row r="589" spans="2:13" x14ac:dyDescent="0.35">
      <c r="B589" s="32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</row>
    <row r="590" spans="2:13" x14ac:dyDescent="0.35">
      <c r="B590" s="32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</row>
    <row r="591" spans="2:13" x14ac:dyDescent="0.35">
      <c r="B591" s="32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</row>
    <row r="592" spans="2:13" x14ac:dyDescent="0.35">
      <c r="B592" s="32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</row>
    <row r="593" spans="2:13" x14ac:dyDescent="0.35">
      <c r="B593" s="32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</row>
    <row r="594" spans="2:13" x14ac:dyDescent="0.35">
      <c r="B594" s="32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</row>
    <row r="595" spans="2:13" x14ac:dyDescent="0.35">
      <c r="B595" s="32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</row>
    <row r="596" spans="2:13" x14ac:dyDescent="0.35">
      <c r="B596" s="32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</row>
    <row r="597" spans="2:13" x14ac:dyDescent="0.35">
      <c r="B597" s="32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</row>
    <row r="598" spans="2:13" x14ac:dyDescent="0.35">
      <c r="B598" s="32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</row>
    <row r="599" spans="2:13" x14ac:dyDescent="0.35">
      <c r="B599" s="32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</row>
    <row r="600" spans="2:13" x14ac:dyDescent="0.35">
      <c r="B600" s="32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</row>
    <row r="601" spans="2:13" x14ac:dyDescent="0.35">
      <c r="B601" s="32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</row>
    <row r="602" spans="2:13" x14ac:dyDescent="0.35">
      <c r="B602" s="32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</row>
    <row r="603" spans="2:13" x14ac:dyDescent="0.35">
      <c r="B603" s="32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</row>
    <row r="604" spans="2:13" x14ac:dyDescent="0.35">
      <c r="B604" s="32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</row>
    <row r="605" spans="2:13" x14ac:dyDescent="0.35">
      <c r="B605" s="32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</row>
    <row r="606" spans="2:13" x14ac:dyDescent="0.35">
      <c r="B606" s="32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</row>
    <row r="607" spans="2:13" x14ac:dyDescent="0.35">
      <c r="B607" s="32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</row>
    <row r="608" spans="2:13" x14ac:dyDescent="0.35">
      <c r="B608" s="32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</row>
    <row r="609" spans="2:13" x14ac:dyDescent="0.35">
      <c r="B609" s="32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</row>
    <row r="610" spans="2:13" x14ac:dyDescent="0.35">
      <c r="B610" s="32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</row>
    <row r="611" spans="2:13" x14ac:dyDescent="0.35">
      <c r="B611" s="32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</row>
    <row r="612" spans="2:13" x14ac:dyDescent="0.35">
      <c r="B612" s="32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</row>
    <row r="613" spans="2:13" x14ac:dyDescent="0.35">
      <c r="B613" s="32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</row>
    <row r="614" spans="2:13" x14ac:dyDescent="0.35">
      <c r="B614" s="32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</row>
    <row r="615" spans="2:13" x14ac:dyDescent="0.35">
      <c r="B615" s="32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</row>
    <row r="616" spans="2:13" x14ac:dyDescent="0.35">
      <c r="B616" s="32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</row>
    <row r="617" spans="2:13" x14ac:dyDescent="0.35">
      <c r="B617" s="32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</row>
    <row r="618" spans="2:13" x14ac:dyDescent="0.35">
      <c r="B618" s="32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</row>
    <row r="619" spans="2:13" x14ac:dyDescent="0.35">
      <c r="B619" s="32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</row>
    <row r="620" spans="2:13" x14ac:dyDescent="0.35">
      <c r="B620" s="32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</row>
    <row r="621" spans="2:13" x14ac:dyDescent="0.35">
      <c r="B621" s="32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</row>
    <row r="622" spans="2:13" x14ac:dyDescent="0.35">
      <c r="B622" s="32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</row>
    <row r="623" spans="2:13" x14ac:dyDescent="0.35">
      <c r="B623" s="32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</row>
    <row r="624" spans="2:13" x14ac:dyDescent="0.35">
      <c r="B624" s="32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</row>
    <row r="625" spans="2:13" x14ac:dyDescent="0.35">
      <c r="B625" s="32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</row>
    <row r="626" spans="2:13" x14ac:dyDescent="0.35">
      <c r="B626" s="32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</row>
    <row r="627" spans="2:13" x14ac:dyDescent="0.35">
      <c r="B627" s="32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</row>
    <row r="628" spans="2:13" x14ac:dyDescent="0.35">
      <c r="B628" s="32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</row>
    <row r="629" spans="2:13" x14ac:dyDescent="0.35">
      <c r="B629" s="32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</row>
    <row r="630" spans="2:13" x14ac:dyDescent="0.35">
      <c r="B630" s="32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</row>
    <row r="631" spans="2:13" x14ac:dyDescent="0.35">
      <c r="B631" s="32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</row>
    <row r="632" spans="2:13" x14ac:dyDescent="0.35">
      <c r="B632" s="32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</row>
    <row r="633" spans="2:13" x14ac:dyDescent="0.35">
      <c r="B633" s="32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</row>
    <row r="634" spans="2:13" x14ac:dyDescent="0.35">
      <c r="B634" s="32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</row>
    <row r="635" spans="2:13" x14ac:dyDescent="0.35">
      <c r="B635" s="32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</row>
    <row r="636" spans="2:13" x14ac:dyDescent="0.35">
      <c r="B636" s="32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</row>
    <row r="637" spans="2:13" x14ac:dyDescent="0.35">
      <c r="B637" s="32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</row>
    <row r="638" spans="2:13" x14ac:dyDescent="0.35">
      <c r="B638" s="32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</row>
    <row r="639" spans="2:13" x14ac:dyDescent="0.35">
      <c r="B639" s="32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</row>
    <row r="640" spans="2:13" x14ac:dyDescent="0.35">
      <c r="B640" s="32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</row>
    <row r="641" spans="2:13" x14ac:dyDescent="0.35">
      <c r="B641" s="32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</row>
    <row r="642" spans="2:13" x14ac:dyDescent="0.35">
      <c r="B642" s="32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</row>
    <row r="643" spans="2:13" x14ac:dyDescent="0.35">
      <c r="B643" s="32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</row>
    <row r="644" spans="2:13" x14ac:dyDescent="0.35">
      <c r="B644" s="32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</row>
    <row r="645" spans="2:13" x14ac:dyDescent="0.35">
      <c r="B645" s="32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</row>
    <row r="646" spans="2:13" x14ac:dyDescent="0.35">
      <c r="B646" s="32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</row>
    <row r="647" spans="2:13" x14ac:dyDescent="0.35">
      <c r="B647" s="32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</row>
    <row r="648" spans="2:13" x14ac:dyDescent="0.35">
      <c r="B648" s="32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</row>
    <row r="649" spans="2:13" x14ac:dyDescent="0.35">
      <c r="B649" s="32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</row>
    <row r="650" spans="2:13" x14ac:dyDescent="0.35">
      <c r="B650" s="32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</row>
    <row r="651" spans="2:13" x14ac:dyDescent="0.35">
      <c r="B651" s="32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</row>
    <row r="652" spans="2:13" x14ac:dyDescent="0.35">
      <c r="B652" s="32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</row>
    <row r="653" spans="2:13" x14ac:dyDescent="0.35">
      <c r="B653" s="32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</row>
    <row r="654" spans="2:13" x14ac:dyDescent="0.35">
      <c r="B654" s="32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</row>
    <row r="655" spans="2:13" x14ac:dyDescent="0.35">
      <c r="B655" s="32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</row>
    <row r="656" spans="2:13" x14ac:dyDescent="0.35">
      <c r="B656" s="32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</row>
    <row r="657" spans="2:13" x14ac:dyDescent="0.35">
      <c r="B657" s="32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</row>
    <row r="658" spans="2:13" x14ac:dyDescent="0.35">
      <c r="B658" s="32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</row>
    <row r="659" spans="2:13" x14ac:dyDescent="0.35">
      <c r="B659" s="32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</row>
    <row r="660" spans="2:13" x14ac:dyDescent="0.35">
      <c r="B660" s="32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</row>
    <row r="661" spans="2:13" x14ac:dyDescent="0.35">
      <c r="B661" s="32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</row>
    <row r="662" spans="2:13" x14ac:dyDescent="0.35">
      <c r="B662" s="32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</row>
    <row r="663" spans="2:13" x14ac:dyDescent="0.35">
      <c r="B663" s="32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</row>
    <row r="664" spans="2:13" x14ac:dyDescent="0.35">
      <c r="B664" s="32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</row>
    <row r="665" spans="2:13" x14ac:dyDescent="0.35">
      <c r="B665" s="32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</row>
    <row r="666" spans="2:13" x14ac:dyDescent="0.35">
      <c r="B666" s="32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</row>
    <row r="667" spans="2:13" x14ac:dyDescent="0.35">
      <c r="B667" s="32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</row>
    <row r="668" spans="2:13" x14ac:dyDescent="0.35">
      <c r="B668" s="32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</row>
    <row r="669" spans="2:13" x14ac:dyDescent="0.35">
      <c r="B669" s="32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</row>
    <row r="670" spans="2:13" x14ac:dyDescent="0.35">
      <c r="B670" s="32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</row>
    <row r="671" spans="2:13" x14ac:dyDescent="0.35">
      <c r="B671" s="32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</row>
    <row r="672" spans="2:13" x14ac:dyDescent="0.35">
      <c r="B672" s="32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</row>
    <row r="673" spans="2:13" x14ac:dyDescent="0.35">
      <c r="B673" s="32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</row>
    <row r="674" spans="2:13" x14ac:dyDescent="0.35">
      <c r="B674" s="32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</row>
    <row r="675" spans="2:13" x14ac:dyDescent="0.35">
      <c r="B675" s="32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</row>
    <row r="676" spans="2:13" x14ac:dyDescent="0.35">
      <c r="B676" s="32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</row>
    <row r="677" spans="2:13" x14ac:dyDescent="0.35">
      <c r="B677" s="32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</row>
    <row r="678" spans="2:13" x14ac:dyDescent="0.35">
      <c r="B678" s="32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</row>
    <row r="679" spans="2:13" x14ac:dyDescent="0.35">
      <c r="B679" s="32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</row>
    <row r="680" spans="2:13" x14ac:dyDescent="0.35">
      <c r="B680" s="32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</row>
    <row r="681" spans="2:13" x14ac:dyDescent="0.35">
      <c r="B681" s="32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</row>
    <row r="682" spans="2:13" x14ac:dyDescent="0.35">
      <c r="B682" s="32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</row>
    <row r="683" spans="2:13" x14ac:dyDescent="0.35">
      <c r="B683" s="32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</row>
    <row r="684" spans="2:13" x14ac:dyDescent="0.35">
      <c r="B684" s="32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</row>
    <row r="685" spans="2:13" x14ac:dyDescent="0.35">
      <c r="B685" s="32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</row>
    <row r="686" spans="2:13" x14ac:dyDescent="0.35">
      <c r="B686" s="32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</row>
    <row r="687" spans="2:13" x14ac:dyDescent="0.35">
      <c r="B687" s="32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</row>
    <row r="688" spans="2:13" x14ac:dyDescent="0.35">
      <c r="B688" s="32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</row>
    <row r="689" spans="2:13" x14ac:dyDescent="0.35">
      <c r="B689" s="32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</row>
    <row r="690" spans="2:13" x14ac:dyDescent="0.35">
      <c r="B690" s="32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</row>
    <row r="691" spans="2:13" x14ac:dyDescent="0.35">
      <c r="B691" s="32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</row>
    <row r="692" spans="2:13" x14ac:dyDescent="0.35">
      <c r="B692" s="32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</row>
    <row r="693" spans="2:13" x14ac:dyDescent="0.35">
      <c r="B693" s="32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</row>
    <row r="694" spans="2:13" x14ac:dyDescent="0.35">
      <c r="B694" s="32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</row>
    <row r="695" spans="2:13" x14ac:dyDescent="0.35">
      <c r="B695" s="32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</row>
    <row r="696" spans="2:13" x14ac:dyDescent="0.35">
      <c r="B696" s="32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</row>
    <row r="697" spans="2:13" x14ac:dyDescent="0.35">
      <c r="B697" s="32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</row>
    <row r="698" spans="2:13" x14ac:dyDescent="0.35">
      <c r="B698" s="32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</row>
    <row r="699" spans="2:13" x14ac:dyDescent="0.35">
      <c r="B699" s="32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</row>
    <row r="700" spans="2:13" x14ac:dyDescent="0.35">
      <c r="B700" s="32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</row>
    <row r="701" spans="2:13" x14ac:dyDescent="0.35">
      <c r="B701" s="32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</row>
    <row r="702" spans="2:13" x14ac:dyDescent="0.35">
      <c r="B702" s="32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</row>
    <row r="703" spans="2:13" x14ac:dyDescent="0.35">
      <c r="B703" s="32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</row>
    <row r="704" spans="2:13" x14ac:dyDescent="0.35">
      <c r="B704" s="32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</row>
    <row r="705" spans="2:13" x14ac:dyDescent="0.35">
      <c r="B705" s="32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</row>
    <row r="706" spans="2:13" x14ac:dyDescent="0.35">
      <c r="B706" s="32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</row>
    <row r="707" spans="2:13" x14ac:dyDescent="0.35">
      <c r="B707" s="32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</row>
    <row r="708" spans="2:13" x14ac:dyDescent="0.35">
      <c r="B708" s="32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</row>
    <row r="709" spans="2:13" x14ac:dyDescent="0.35">
      <c r="B709" s="32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</row>
    <row r="710" spans="2:13" x14ac:dyDescent="0.35">
      <c r="B710" s="32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</row>
    <row r="711" spans="2:13" x14ac:dyDescent="0.35">
      <c r="B711" s="32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</row>
    <row r="712" spans="2:13" x14ac:dyDescent="0.35">
      <c r="B712" s="32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</row>
    <row r="713" spans="2:13" x14ac:dyDescent="0.35">
      <c r="B713" s="32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</row>
    <row r="714" spans="2:13" x14ac:dyDescent="0.35">
      <c r="B714" s="32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</row>
    <row r="715" spans="2:13" x14ac:dyDescent="0.35">
      <c r="B715" s="32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</row>
    <row r="716" spans="2:13" x14ac:dyDescent="0.35">
      <c r="B716" s="32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</row>
    <row r="717" spans="2:13" x14ac:dyDescent="0.35">
      <c r="B717" s="32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</row>
    <row r="718" spans="2:13" x14ac:dyDescent="0.35">
      <c r="B718" s="32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</row>
    <row r="719" spans="2:13" x14ac:dyDescent="0.35">
      <c r="B719" s="32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</row>
    <row r="720" spans="2:13" x14ac:dyDescent="0.35">
      <c r="B720" s="32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</row>
    <row r="721" spans="2:13" x14ac:dyDescent="0.35">
      <c r="B721" s="32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</row>
    <row r="722" spans="2:13" x14ac:dyDescent="0.35">
      <c r="B722" s="32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</row>
    <row r="723" spans="2:13" x14ac:dyDescent="0.35">
      <c r="B723" s="32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</row>
    <row r="724" spans="2:13" x14ac:dyDescent="0.35">
      <c r="B724" s="32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</row>
    <row r="725" spans="2:13" x14ac:dyDescent="0.35">
      <c r="B725" s="32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</row>
    <row r="726" spans="2:13" x14ac:dyDescent="0.35">
      <c r="B726" s="32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</row>
    <row r="727" spans="2:13" x14ac:dyDescent="0.35">
      <c r="B727" s="32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</row>
    <row r="728" spans="2:13" x14ac:dyDescent="0.35">
      <c r="B728" s="32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</row>
    <row r="729" spans="2:13" x14ac:dyDescent="0.35">
      <c r="B729" s="32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</row>
    <row r="730" spans="2:13" x14ac:dyDescent="0.35">
      <c r="B730" s="32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</row>
    <row r="731" spans="2:13" x14ac:dyDescent="0.35">
      <c r="B731" s="32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</row>
    <row r="732" spans="2:13" x14ac:dyDescent="0.35">
      <c r="B732" s="32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</row>
    <row r="733" spans="2:13" x14ac:dyDescent="0.35">
      <c r="B733" s="32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</row>
    <row r="734" spans="2:13" x14ac:dyDescent="0.35">
      <c r="B734" s="32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</row>
    <row r="735" spans="2:13" x14ac:dyDescent="0.35">
      <c r="B735" s="32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</row>
    <row r="736" spans="2:13" x14ac:dyDescent="0.35">
      <c r="B736" s="32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</row>
    <row r="737" spans="2:13" x14ac:dyDescent="0.35">
      <c r="B737" s="32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</row>
    <row r="738" spans="2:13" x14ac:dyDescent="0.35">
      <c r="B738" s="32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</row>
    <row r="739" spans="2:13" x14ac:dyDescent="0.35">
      <c r="B739" s="32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</row>
    <row r="740" spans="2:13" x14ac:dyDescent="0.35">
      <c r="B740" s="32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</row>
    <row r="741" spans="2:13" x14ac:dyDescent="0.35">
      <c r="B741" s="32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</row>
    <row r="742" spans="2:13" x14ac:dyDescent="0.35">
      <c r="B742" s="32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</row>
    <row r="743" spans="2:13" x14ac:dyDescent="0.35">
      <c r="B743" s="32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</row>
    <row r="744" spans="2:13" x14ac:dyDescent="0.35">
      <c r="B744" s="32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</row>
    <row r="745" spans="2:13" x14ac:dyDescent="0.35">
      <c r="B745" s="32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</row>
    <row r="746" spans="2:13" x14ac:dyDescent="0.35">
      <c r="B746" s="32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</row>
    <row r="747" spans="2:13" x14ac:dyDescent="0.35">
      <c r="B747" s="32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</row>
    <row r="748" spans="2:13" x14ac:dyDescent="0.35">
      <c r="B748" s="32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</row>
    <row r="749" spans="2:13" x14ac:dyDescent="0.35">
      <c r="B749" s="32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</row>
    <row r="750" spans="2:13" x14ac:dyDescent="0.35">
      <c r="B750" s="32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</row>
    <row r="751" spans="2:13" x14ac:dyDescent="0.35">
      <c r="B751" s="32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</row>
    <row r="752" spans="2:13" x14ac:dyDescent="0.35">
      <c r="B752" s="32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</row>
    <row r="753" spans="2:13" x14ac:dyDescent="0.35">
      <c r="B753" s="32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</row>
    <row r="754" spans="2:13" x14ac:dyDescent="0.35">
      <c r="B754" s="32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</row>
    <row r="755" spans="2:13" x14ac:dyDescent="0.35">
      <c r="B755" s="32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</row>
    <row r="756" spans="2:13" x14ac:dyDescent="0.35">
      <c r="B756" s="32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</row>
    <row r="757" spans="2:13" x14ac:dyDescent="0.35">
      <c r="B757" s="32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</row>
    <row r="758" spans="2:13" x14ac:dyDescent="0.35">
      <c r="B758" s="32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</row>
    <row r="759" spans="2:13" x14ac:dyDescent="0.35">
      <c r="B759" s="32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</row>
    <row r="760" spans="2:13" x14ac:dyDescent="0.35">
      <c r="B760" s="32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</row>
    <row r="761" spans="2:13" x14ac:dyDescent="0.35">
      <c r="B761" s="32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</row>
    <row r="762" spans="2:13" x14ac:dyDescent="0.35">
      <c r="B762" s="32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</row>
    <row r="763" spans="2:13" x14ac:dyDescent="0.35">
      <c r="B763" s="32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</row>
    <row r="764" spans="2:13" x14ac:dyDescent="0.35">
      <c r="B764" s="32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</row>
    <row r="765" spans="2:13" x14ac:dyDescent="0.35">
      <c r="B765" s="32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</row>
    <row r="766" spans="2:13" x14ac:dyDescent="0.35">
      <c r="B766" s="32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</row>
    <row r="767" spans="2:13" x14ac:dyDescent="0.35">
      <c r="B767" s="32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</row>
    <row r="768" spans="2:13" x14ac:dyDescent="0.35">
      <c r="B768" s="32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</row>
    <row r="769" spans="2:13" x14ac:dyDescent="0.35">
      <c r="B769" s="32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</row>
    <row r="770" spans="2:13" x14ac:dyDescent="0.35">
      <c r="B770" s="32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</row>
    <row r="771" spans="2:13" x14ac:dyDescent="0.35">
      <c r="B771" s="32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</row>
    <row r="772" spans="2:13" x14ac:dyDescent="0.35">
      <c r="B772" s="32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</row>
    <row r="773" spans="2:13" x14ac:dyDescent="0.35">
      <c r="B773" s="32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</row>
    <row r="774" spans="2:13" x14ac:dyDescent="0.35">
      <c r="B774" s="32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</row>
    <row r="775" spans="2:13" x14ac:dyDescent="0.35">
      <c r="B775" s="32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</row>
    <row r="776" spans="2:13" x14ac:dyDescent="0.35">
      <c r="B776" s="32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</row>
    <row r="777" spans="2:13" x14ac:dyDescent="0.35">
      <c r="B777" s="32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</row>
    <row r="778" spans="2:13" x14ac:dyDescent="0.35">
      <c r="B778" s="32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</row>
    <row r="779" spans="2:13" x14ac:dyDescent="0.35">
      <c r="B779" s="32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</row>
    <row r="780" spans="2:13" x14ac:dyDescent="0.35">
      <c r="B780" s="32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</row>
    <row r="781" spans="2:13" x14ac:dyDescent="0.35">
      <c r="B781" s="32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</row>
    <row r="782" spans="2:13" x14ac:dyDescent="0.35">
      <c r="B782" s="32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</row>
    <row r="783" spans="2:13" x14ac:dyDescent="0.35">
      <c r="B783" s="32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</row>
    <row r="784" spans="2:13" x14ac:dyDescent="0.35">
      <c r="B784" s="32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</row>
    <row r="785" spans="2:13" x14ac:dyDescent="0.35">
      <c r="B785" s="32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</row>
    <row r="786" spans="2:13" x14ac:dyDescent="0.35">
      <c r="B786" s="32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</row>
    <row r="787" spans="2:13" x14ac:dyDescent="0.35">
      <c r="B787" s="32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</row>
    <row r="788" spans="2:13" x14ac:dyDescent="0.35">
      <c r="B788" s="32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</row>
    <row r="789" spans="2:13" x14ac:dyDescent="0.35">
      <c r="B789" s="32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</row>
    <row r="790" spans="2:13" x14ac:dyDescent="0.35">
      <c r="B790" s="32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</row>
    <row r="791" spans="2:13" x14ac:dyDescent="0.35">
      <c r="B791" s="32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</row>
    <row r="792" spans="2:13" x14ac:dyDescent="0.35">
      <c r="B792" s="32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</row>
    <row r="793" spans="2:13" x14ac:dyDescent="0.35">
      <c r="B793" s="32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</row>
    <row r="794" spans="2:13" x14ac:dyDescent="0.35">
      <c r="B794" s="32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</row>
    <row r="795" spans="2:13" x14ac:dyDescent="0.35">
      <c r="B795" s="32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</row>
    <row r="796" spans="2:13" x14ac:dyDescent="0.35">
      <c r="B796" s="32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</row>
    <row r="797" spans="2:13" x14ac:dyDescent="0.35">
      <c r="B797" s="32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</row>
    <row r="798" spans="2:13" x14ac:dyDescent="0.35">
      <c r="B798" s="32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</row>
    <row r="799" spans="2:13" x14ac:dyDescent="0.35">
      <c r="B799" s="32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</row>
    <row r="800" spans="2:13" x14ac:dyDescent="0.35">
      <c r="B800" s="32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</row>
    <row r="801" spans="2:13" x14ac:dyDescent="0.35">
      <c r="B801" s="32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</row>
    <row r="802" spans="2:13" x14ac:dyDescent="0.35">
      <c r="B802" s="32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</row>
    <row r="803" spans="2:13" x14ac:dyDescent="0.35">
      <c r="B803" s="32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</row>
    <row r="804" spans="2:13" x14ac:dyDescent="0.35">
      <c r="B804" s="32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</row>
    <row r="805" spans="2:13" x14ac:dyDescent="0.35">
      <c r="B805" s="32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</row>
    <row r="806" spans="2:13" x14ac:dyDescent="0.35">
      <c r="B806" s="32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</row>
    <row r="807" spans="2:13" x14ac:dyDescent="0.35">
      <c r="B807" s="32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</row>
    <row r="808" spans="2:13" x14ac:dyDescent="0.35">
      <c r="B808" s="32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</row>
    <row r="809" spans="2:13" x14ac:dyDescent="0.35">
      <c r="B809" s="32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</row>
    <row r="810" spans="2:13" x14ac:dyDescent="0.35">
      <c r="B810" s="32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</row>
    <row r="811" spans="2:13" x14ac:dyDescent="0.35">
      <c r="B811" s="32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</row>
    <row r="812" spans="2:13" x14ac:dyDescent="0.35">
      <c r="B812" s="32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</row>
    <row r="813" spans="2:13" x14ac:dyDescent="0.35">
      <c r="B813" s="32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</row>
    <row r="814" spans="2:13" x14ac:dyDescent="0.35">
      <c r="B814" s="32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</row>
    <row r="815" spans="2:13" x14ac:dyDescent="0.35">
      <c r="B815" s="32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</row>
    <row r="816" spans="2:13" x14ac:dyDescent="0.35">
      <c r="B816" s="32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</row>
    <row r="817" spans="2:13" x14ac:dyDescent="0.35">
      <c r="B817" s="32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</row>
    <row r="818" spans="2:13" x14ac:dyDescent="0.35">
      <c r="B818" s="32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</row>
    <row r="819" spans="2:13" x14ac:dyDescent="0.35">
      <c r="B819" s="32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</row>
    <row r="820" spans="2:13" x14ac:dyDescent="0.35">
      <c r="B820" s="32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</row>
    <row r="821" spans="2:13" x14ac:dyDescent="0.35">
      <c r="B821" s="32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</row>
    <row r="822" spans="2:13" x14ac:dyDescent="0.35">
      <c r="B822" s="32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</row>
    <row r="823" spans="2:13" x14ac:dyDescent="0.35">
      <c r="B823" s="32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</row>
    <row r="824" spans="2:13" x14ac:dyDescent="0.35">
      <c r="B824" s="32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</row>
    <row r="825" spans="2:13" x14ac:dyDescent="0.35">
      <c r="B825" s="32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</row>
    <row r="826" spans="2:13" x14ac:dyDescent="0.35">
      <c r="B826" s="32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</row>
    <row r="827" spans="2:13" x14ac:dyDescent="0.35">
      <c r="B827" s="32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</row>
    <row r="828" spans="2:13" x14ac:dyDescent="0.35">
      <c r="B828" s="32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</row>
    <row r="829" spans="2:13" x14ac:dyDescent="0.35">
      <c r="B829" s="32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</row>
    <row r="830" spans="2:13" x14ac:dyDescent="0.35">
      <c r="B830" s="32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</row>
    <row r="831" spans="2:13" x14ac:dyDescent="0.35">
      <c r="B831" s="32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</row>
    <row r="832" spans="2:13" x14ac:dyDescent="0.35">
      <c r="B832" s="32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</row>
    <row r="833" spans="2:13" x14ac:dyDescent="0.35">
      <c r="B833" s="32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</row>
    <row r="834" spans="2:13" x14ac:dyDescent="0.35">
      <c r="B834" s="32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</row>
    <row r="835" spans="2:13" x14ac:dyDescent="0.35">
      <c r="B835" s="32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</row>
    <row r="836" spans="2:13" x14ac:dyDescent="0.35">
      <c r="B836" s="32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</row>
    <row r="837" spans="2:13" x14ac:dyDescent="0.35">
      <c r="B837" s="32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</row>
    <row r="838" spans="2:13" x14ac:dyDescent="0.35">
      <c r="B838" s="32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</row>
    <row r="839" spans="2:13" x14ac:dyDescent="0.35">
      <c r="B839" s="32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</row>
    <row r="840" spans="2:13" x14ac:dyDescent="0.35">
      <c r="B840" s="32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</row>
    <row r="841" spans="2:13" x14ac:dyDescent="0.35">
      <c r="B841" s="32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</row>
    <row r="842" spans="2:13" x14ac:dyDescent="0.35">
      <c r="B842" s="32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</row>
    <row r="843" spans="2:13" x14ac:dyDescent="0.35">
      <c r="B843" s="32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</row>
    <row r="844" spans="2:13" x14ac:dyDescent="0.35">
      <c r="B844" s="32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</row>
    <row r="845" spans="2:13" x14ac:dyDescent="0.35">
      <c r="B845" s="32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</row>
    <row r="846" spans="2:13" x14ac:dyDescent="0.35">
      <c r="B846" s="32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</row>
    <row r="847" spans="2:13" x14ac:dyDescent="0.35">
      <c r="B847" s="32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</row>
    <row r="848" spans="2:13" x14ac:dyDescent="0.35">
      <c r="B848" s="32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</row>
    <row r="849" spans="2:13" x14ac:dyDescent="0.35">
      <c r="B849" s="32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</row>
    <row r="850" spans="2:13" x14ac:dyDescent="0.35">
      <c r="B850" s="32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</row>
    <row r="851" spans="2:13" x14ac:dyDescent="0.35">
      <c r="B851" s="32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</row>
    <row r="852" spans="2:13" x14ac:dyDescent="0.35">
      <c r="B852" s="32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</row>
    <row r="853" spans="2:13" x14ac:dyDescent="0.35">
      <c r="B853" s="32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</row>
    <row r="854" spans="2:13" x14ac:dyDescent="0.35">
      <c r="B854" s="32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</row>
    <row r="855" spans="2:13" x14ac:dyDescent="0.35">
      <c r="B855" s="32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</row>
    <row r="856" spans="2:13" x14ac:dyDescent="0.35">
      <c r="B856" s="32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</row>
    <row r="857" spans="2:13" x14ac:dyDescent="0.35">
      <c r="B857" s="32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</row>
    <row r="858" spans="2:13" x14ac:dyDescent="0.35">
      <c r="B858" s="32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</row>
    <row r="859" spans="2:13" x14ac:dyDescent="0.35">
      <c r="B859" s="32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</row>
    <row r="860" spans="2:13" x14ac:dyDescent="0.35">
      <c r="B860" s="32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</row>
    <row r="861" spans="2:13" x14ac:dyDescent="0.35">
      <c r="B861" s="32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</row>
    <row r="862" spans="2:13" x14ac:dyDescent="0.35">
      <c r="B862" s="32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</row>
    <row r="863" spans="2:13" x14ac:dyDescent="0.35">
      <c r="B863" s="32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</row>
    <row r="864" spans="2:13" x14ac:dyDescent="0.35">
      <c r="B864" s="32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</row>
    <row r="865" spans="2:13" x14ac:dyDescent="0.35">
      <c r="B865" s="32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</row>
    <row r="866" spans="2:13" x14ac:dyDescent="0.35">
      <c r="B866" s="32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</row>
    <row r="867" spans="2:13" x14ac:dyDescent="0.35">
      <c r="B867" s="32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</row>
    <row r="868" spans="2:13" x14ac:dyDescent="0.35">
      <c r="B868" s="32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</row>
    <row r="869" spans="2:13" x14ac:dyDescent="0.35">
      <c r="B869" s="32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</row>
    <row r="870" spans="2:13" x14ac:dyDescent="0.35">
      <c r="B870" s="32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</row>
    <row r="871" spans="2:13" x14ac:dyDescent="0.35">
      <c r="B871" s="32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</row>
    <row r="872" spans="2:13" x14ac:dyDescent="0.35">
      <c r="B872" s="32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</row>
    <row r="873" spans="2:13" x14ac:dyDescent="0.35">
      <c r="B873" s="32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</row>
    <row r="874" spans="2:13" x14ac:dyDescent="0.35">
      <c r="B874" s="32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</row>
    <row r="875" spans="2:13" x14ac:dyDescent="0.35">
      <c r="B875" s="32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</row>
    <row r="876" spans="2:13" x14ac:dyDescent="0.35">
      <c r="B876" s="32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</row>
    <row r="877" spans="2:13" x14ac:dyDescent="0.35">
      <c r="B877" s="32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</row>
    <row r="878" spans="2:13" x14ac:dyDescent="0.35">
      <c r="B878" s="32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</row>
    <row r="879" spans="2:13" x14ac:dyDescent="0.35">
      <c r="B879" s="32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</row>
    <row r="880" spans="2:13" x14ac:dyDescent="0.35">
      <c r="B880" s="32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</row>
    <row r="881" spans="2:13" x14ac:dyDescent="0.35">
      <c r="B881" s="32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</row>
    <row r="882" spans="2:13" x14ac:dyDescent="0.35">
      <c r="B882" s="32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</row>
    <row r="883" spans="2:13" x14ac:dyDescent="0.35">
      <c r="B883" s="32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</row>
    <row r="884" spans="2:13" x14ac:dyDescent="0.35">
      <c r="B884" s="32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</row>
    <row r="885" spans="2:13" x14ac:dyDescent="0.35">
      <c r="B885" s="32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</row>
    <row r="886" spans="2:13" x14ac:dyDescent="0.35">
      <c r="B886" s="32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</row>
    <row r="887" spans="2:13" x14ac:dyDescent="0.35">
      <c r="B887" s="32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</row>
    <row r="888" spans="2:13" x14ac:dyDescent="0.35">
      <c r="B888" s="32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</row>
    <row r="889" spans="2:13" x14ac:dyDescent="0.35">
      <c r="B889" s="32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</row>
    <row r="890" spans="2:13" x14ac:dyDescent="0.35">
      <c r="B890" s="32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</row>
    <row r="891" spans="2:13" x14ac:dyDescent="0.35">
      <c r="B891" s="32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</row>
    <row r="892" spans="2:13" x14ac:dyDescent="0.35">
      <c r="B892" s="32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</row>
    <row r="893" spans="2:13" x14ac:dyDescent="0.35">
      <c r="B893" s="32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</row>
    <row r="894" spans="2:13" x14ac:dyDescent="0.35">
      <c r="B894" s="32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</row>
    <row r="895" spans="2:13" x14ac:dyDescent="0.35">
      <c r="B895" s="32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</row>
    <row r="896" spans="2:13" x14ac:dyDescent="0.35">
      <c r="B896" s="32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</row>
    <row r="897" spans="2:13" x14ac:dyDescent="0.35">
      <c r="B897" s="32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</row>
    <row r="898" spans="2:13" x14ac:dyDescent="0.35">
      <c r="B898" s="32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</row>
    <row r="899" spans="2:13" x14ac:dyDescent="0.35">
      <c r="B899" s="32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</row>
    <row r="900" spans="2:13" x14ac:dyDescent="0.35">
      <c r="B900" s="32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</row>
    <row r="901" spans="2:13" x14ac:dyDescent="0.35">
      <c r="B901" s="32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</row>
    <row r="902" spans="2:13" x14ac:dyDescent="0.35">
      <c r="B902" s="32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</row>
    <row r="903" spans="2:13" x14ac:dyDescent="0.35">
      <c r="B903" s="32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</row>
    <row r="904" spans="2:13" x14ac:dyDescent="0.35">
      <c r="B904" s="32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</row>
    <row r="905" spans="2:13" x14ac:dyDescent="0.35">
      <c r="B905" s="32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</row>
    <row r="906" spans="2:13" x14ac:dyDescent="0.35">
      <c r="B906" s="32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</row>
    <row r="907" spans="2:13" x14ac:dyDescent="0.35">
      <c r="B907" s="32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</row>
    <row r="908" spans="2:13" x14ac:dyDescent="0.35">
      <c r="B908" s="32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</row>
    <row r="909" spans="2:13" x14ac:dyDescent="0.35">
      <c r="B909" s="32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</row>
    <row r="910" spans="2:13" x14ac:dyDescent="0.35">
      <c r="B910" s="32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</row>
    <row r="911" spans="2:13" x14ac:dyDescent="0.35">
      <c r="B911" s="32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</row>
    <row r="912" spans="2:13" x14ac:dyDescent="0.35">
      <c r="B912" s="32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</row>
    <row r="913" spans="2:13" x14ac:dyDescent="0.35">
      <c r="B913" s="32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</row>
    <row r="914" spans="2:13" x14ac:dyDescent="0.35">
      <c r="B914" s="32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</row>
    <row r="915" spans="2:13" x14ac:dyDescent="0.35">
      <c r="B915" s="32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</row>
    <row r="916" spans="2:13" x14ac:dyDescent="0.35">
      <c r="B916" s="32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</row>
    <row r="917" spans="2:13" x14ac:dyDescent="0.35">
      <c r="B917" s="32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</row>
    <row r="918" spans="2:13" x14ac:dyDescent="0.35">
      <c r="B918" s="32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</row>
    <row r="919" spans="2:13" x14ac:dyDescent="0.35">
      <c r="B919" s="32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</row>
    <row r="920" spans="2:13" x14ac:dyDescent="0.35">
      <c r="B920" s="32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</row>
    <row r="921" spans="2:13" x14ac:dyDescent="0.35">
      <c r="B921" s="32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</row>
    <row r="922" spans="2:13" x14ac:dyDescent="0.35">
      <c r="B922" s="32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</row>
    <row r="923" spans="2:13" x14ac:dyDescent="0.35">
      <c r="B923" s="32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</row>
    <row r="924" spans="2:13" x14ac:dyDescent="0.35">
      <c r="B924" s="32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</row>
    <row r="925" spans="2:13" x14ac:dyDescent="0.35">
      <c r="B925" s="32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</row>
    <row r="926" spans="2:13" x14ac:dyDescent="0.35">
      <c r="B926" s="32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</row>
    <row r="927" spans="2:13" x14ac:dyDescent="0.35">
      <c r="B927" s="32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</row>
    <row r="928" spans="2:13" x14ac:dyDescent="0.35">
      <c r="B928" s="32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</row>
    <row r="929" spans="2:13" x14ac:dyDescent="0.35">
      <c r="B929" s="32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</row>
    <row r="930" spans="2:13" x14ac:dyDescent="0.35">
      <c r="B930" s="32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</row>
    <row r="931" spans="2:13" x14ac:dyDescent="0.35">
      <c r="B931" s="32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</row>
    <row r="932" spans="2:13" x14ac:dyDescent="0.35">
      <c r="B932" s="32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</row>
    <row r="933" spans="2:13" x14ac:dyDescent="0.35">
      <c r="B933" s="32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</row>
    <row r="934" spans="2:13" x14ac:dyDescent="0.35">
      <c r="B934" s="32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</row>
    <row r="935" spans="2:13" x14ac:dyDescent="0.35">
      <c r="B935" s="32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</row>
    <row r="936" spans="2:13" x14ac:dyDescent="0.35">
      <c r="B936" s="32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</row>
    <row r="937" spans="2:13" x14ac:dyDescent="0.35">
      <c r="B937" s="32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</row>
    <row r="938" spans="2:13" x14ac:dyDescent="0.35">
      <c r="B938" s="32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</row>
    <row r="939" spans="2:13" x14ac:dyDescent="0.35">
      <c r="B939" s="32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</row>
    <row r="940" spans="2:13" x14ac:dyDescent="0.35">
      <c r="B940" s="32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</row>
    <row r="941" spans="2:13" x14ac:dyDescent="0.35">
      <c r="B941" s="32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</row>
    <row r="942" spans="2:13" x14ac:dyDescent="0.35">
      <c r="B942" s="32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</row>
    <row r="943" spans="2:13" x14ac:dyDescent="0.35">
      <c r="B943" s="32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</row>
    <row r="944" spans="2:13" x14ac:dyDescent="0.35">
      <c r="B944" s="32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</row>
    <row r="945" spans="2:13" x14ac:dyDescent="0.35">
      <c r="B945" s="32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</row>
    <row r="946" spans="2:13" x14ac:dyDescent="0.35">
      <c r="B946" s="32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</row>
    <row r="947" spans="2:13" x14ac:dyDescent="0.35">
      <c r="B947" s="32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</row>
    <row r="948" spans="2:13" x14ac:dyDescent="0.35">
      <c r="B948" s="32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</row>
    <row r="949" spans="2:13" x14ac:dyDescent="0.35">
      <c r="B949" s="32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</row>
    <row r="950" spans="2:13" x14ac:dyDescent="0.35">
      <c r="B950" s="32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</row>
    <row r="951" spans="2:13" x14ac:dyDescent="0.35">
      <c r="B951" s="32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</row>
    <row r="952" spans="2:13" x14ac:dyDescent="0.35">
      <c r="B952" s="32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</row>
    <row r="953" spans="2:13" x14ac:dyDescent="0.35">
      <c r="B953" s="32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</row>
    <row r="954" spans="2:13" x14ac:dyDescent="0.35">
      <c r="B954" s="32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</row>
    <row r="955" spans="2:13" x14ac:dyDescent="0.35">
      <c r="B955" s="32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</row>
    <row r="956" spans="2:13" x14ac:dyDescent="0.35">
      <c r="B956" s="32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</row>
    <row r="957" spans="2:13" x14ac:dyDescent="0.35">
      <c r="B957" s="32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</row>
    <row r="958" spans="2:13" x14ac:dyDescent="0.35">
      <c r="B958" s="32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</row>
    <row r="959" spans="2:13" x14ac:dyDescent="0.35">
      <c r="B959" s="32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</row>
    <row r="960" spans="2:13" x14ac:dyDescent="0.35">
      <c r="B960" s="32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</row>
    <row r="961" spans="2:13" x14ac:dyDescent="0.35">
      <c r="B961" s="32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</row>
    <row r="962" spans="2:13" x14ac:dyDescent="0.35">
      <c r="B962" s="32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</row>
    <row r="963" spans="2:13" x14ac:dyDescent="0.35">
      <c r="B963" s="32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</row>
    <row r="964" spans="2:13" x14ac:dyDescent="0.35">
      <c r="B964" s="32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</row>
    <row r="965" spans="2:13" x14ac:dyDescent="0.35">
      <c r="B965" s="32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</row>
    <row r="966" spans="2:13" x14ac:dyDescent="0.35">
      <c r="B966" s="32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</row>
    <row r="967" spans="2:13" x14ac:dyDescent="0.35">
      <c r="B967" s="32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</row>
    <row r="968" spans="2:13" x14ac:dyDescent="0.35">
      <c r="B968" s="32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</row>
    <row r="969" spans="2:13" x14ac:dyDescent="0.35">
      <c r="B969" s="32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</row>
    <row r="970" spans="2:13" x14ac:dyDescent="0.35">
      <c r="B970" s="32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</row>
    <row r="971" spans="2:13" x14ac:dyDescent="0.35">
      <c r="B971" s="32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</row>
    <row r="972" spans="2:13" x14ac:dyDescent="0.35">
      <c r="B972" s="32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</row>
    <row r="973" spans="2:13" x14ac:dyDescent="0.35">
      <c r="B973" s="32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</row>
    <row r="974" spans="2:13" x14ac:dyDescent="0.35">
      <c r="B974" s="32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</row>
    <row r="975" spans="2:13" x14ac:dyDescent="0.35">
      <c r="B975" s="32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</row>
    <row r="976" spans="2:13" x14ac:dyDescent="0.35">
      <c r="B976" s="32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</row>
    <row r="977" spans="2:13" x14ac:dyDescent="0.35">
      <c r="B977" s="32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</row>
    <row r="978" spans="2:13" x14ac:dyDescent="0.35">
      <c r="B978" s="32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</row>
    <row r="979" spans="2:13" x14ac:dyDescent="0.35">
      <c r="B979" s="32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</row>
    <row r="980" spans="2:13" x14ac:dyDescent="0.35">
      <c r="B980" s="32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</row>
    <row r="981" spans="2:13" x14ac:dyDescent="0.35">
      <c r="B981" s="32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</row>
    <row r="982" spans="2:13" x14ac:dyDescent="0.35">
      <c r="B982" s="32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</row>
    <row r="983" spans="2:13" x14ac:dyDescent="0.35">
      <c r="B983" s="32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</row>
    <row r="984" spans="2:13" x14ac:dyDescent="0.35">
      <c r="B984" s="32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</row>
    <row r="985" spans="2:13" x14ac:dyDescent="0.35">
      <c r="B985" s="32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</row>
    <row r="986" spans="2:13" x14ac:dyDescent="0.35">
      <c r="B986" s="32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</row>
    <row r="987" spans="2:13" x14ac:dyDescent="0.35">
      <c r="B987" s="32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</row>
    <row r="988" spans="2:13" x14ac:dyDescent="0.35">
      <c r="B988" s="32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</row>
    <row r="989" spans="2:13" x14ac:dyDescent="0.35">
      <c r="B989" s="32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</row>
    <row r="990" spans="2:13" x14ac:dyDescent="0.35">
      <c r="B990" s="32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</row>
    <row r="991" spans="2:13" x14ac:dyDescent="0.35">
      <c r="B991" s="32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</row>
    <row r="992" spans="2:13" x14ac:dyDescent="0.35">
      <c r="B992" s="32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</row>
    <row r="993" spans="2:13" x14ac:dyDescent="0.35">
      <c r="B993" s="32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</row>
    <row r="994" spans="2:13" x14ac:dyDescent="0.35">
      <c r="B994" s="32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</row>
    <row r="995" spans="2:13" x14ac:dyDescent="0.35">
      <c r="B995" s="32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</row>
    <row r="996" spans="2:13" x14ac:dyDescent="0.35">
      <c r="B996" s="32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</row>
    <row r="997" spans="2:13" x14ac:dyDescent="0.35">
      <c r="B997" s="32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</row>
    <row r="998" spans="2:13" x14ac:dyDescent="0.35">
      <c r="B998" s="32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</row>
    <row r="999" spans="2:13" x14ac:dyDescent="0.35">
      <c r="B999" s="32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</row>
    <row r="1000" spans="2:13" x14ac:dyDescent="0.35">
      <c r="B1000" s="32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</row>
    <row r="1001" spans="2:13" x14ac:dyDescent="0.35">
      <c r="B1001" s="32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</row>
    <row r="1002" spans="2:13" x14ac:dyDescent="0.35">
      <c r="B1002" s="32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</row>
    <row r="1003" spans="2:13" x14ac:dyDescent="0.35">
      <c r="B1003" s="32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</row>
    <row r="1004" spans="2:13" x14ac:dyDescent="0.35">
      <c r="B1004" s="32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</row>
    <row r="1005" spans="2:13" x14ac:dyDescent="0.35">
      <c r="B1005" s="32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</row>
    <row r="1006" spans="2:13" x14ac:dyDescent="0.35">
      <c r="B1006" s="32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</row>
    <row r="1007" spans="2:13" x14ac:dyDescent="0.35">
      <c r="B1007" s="32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</row>
    <row r="1008" spans="2:13" x14ac:dyDescent="0.35">
      <c r="B1008" s="32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</row>
    <row r="1009" spans="2:13" x14ac:dyDescent="0.35">
      <c r="B1009" s="32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</row>
    <row r="1010" spans="2:13" x14ac:dyDescent="0.35">
      <c r="B1010" s="32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</row>
    <row r="1011" spans="2:13" x14ac:dyDescent="0.35">
      <c r="B1011" s="32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</row>
    <row r="1012" spans="2:13" x14ac:dyDescent="0.35">
      <c r="B1012" s="32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</row>
    <row r="1013" spans="2:13" x14ac:dyDescent="0.35">
      <c r="B1013" s="32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</row>
    <row r="1014" spans="2:13" x14ac:dyDescent="0.35">
      <c r="B1014" s="32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</row>
    <row r="1015" spans="2:13" x14ac:dyDescent="0.35">
      <c r="B1015" s="32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</row>
    <row r="1016" spans="2:13" x14ac:dyDescent="0.35">
      <c r="B1016" s="32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</row>
    <row r="1017" spans="2:13" x14ac:dyDescent="0.35">
      <c r="B1017" s="32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</row>
    <row r="1018" spans="2:13" x14ac:dyDescent="0.35">
      <c r="B1018" s="32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</row>
    <row r="1019" spans="2:13" x14ac:dyDescent="0.35">
      <c r="B1019" s="32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</row>
    <row r="1020" spans="2:13" x14ac:dyDescent="0.35">
      <c r="B1020" s="32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</row>
    <row r="1021" spans="2:13" x14ac:dyDescent="0.35">
      <c r="B1021" s="32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</row>
    <row r="1022" spans="2:13" x14ac:dyDescent="0.35">
      <c r="B1022" s="32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</row>
    <row r="1023" spans="2:13" x14ac:dyDescent="0.35">
      <c r="B1023" s="32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</row>
    <row r="1024" spans="2:13" x14ac:dyDescent="0.35">
      <c r="B1024" s="32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</row>
    <row r="1025" spans="2:13" x14ac:dyDescent="0.35">
      <c r="B1025" s="32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</row>
    <row r="1026" spans="2:13" x14ac:dyDescent="0.35">
      <c r="B1026" s="32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</row>
    <row r="1027" spans="2:13" x14ac:dyDescent="0.35">
      <c r="B1027" s="32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</row>
    <row r="1028" spans="2:13" x14ac:dyDescent="0.35">
      <c r="B1028" s="32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</row>
    <row r="1029" spans="2:13" x14ac:dyDescent="0.35">
      <c r="B1029" s="32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</row>
    <row r="1030" spans="2:13" x14ac:dyDescent="0.35">
      <c r="B1030" s="32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</row>
    <row r="1031" spans="2:13" x14ac:dyDescent="0.35">
      <c r="B1031" s="32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</row>
    <row r="1032" spans="2:13" x14ac:dyDescent="0.35">
      <c r="B1032" s="32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</row>
    <row r="1033" spans="2:13" x14ac:dyDescent="0.35">
      <c r="B1033" s="32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</row>
    <row r="1034" spans="2:13" x14ac:dyDescent="0.35">
      <c r="B1034" s="32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</row>
    <row r="1035" spans="2:13" x14ac:dyDescent="0.35">
      <c r="B1035" s="32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</row>
    <row r="1036" spans="2:13" x14ac:dyDescent="0.35">
      <c r="B1036" s="32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</row>
    <row r="1037" spans="2:13" x14ac:dyDescent="0.35">
      <c r="B1037" s="32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</row>
    <row r="1038" spans="2:13" x14ac:dyDescent="0.35">
      <c r="B1038" s="32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</row>
    <row r="1039" spans="2:13" x14ac:dyDescent="0.35">
      <c r="B1039" s="32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</row>
    <row r="1040" spans="2:13" x14ac:dyDescent="0.35">
      <c r="B1040" s="32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</row>
    <row r="1041" spans="2:13" x14ac:dyDescent="0.35">
      <c r="B1041" s="32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</row>
    <row r="1042" spans="2:13" x14ac:dyDescent="0.35">
      <c r="B1042" s="32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</row>
    <row r="1043" spans="2:13" x14ac:dyDescent="0.35">
      <c r="B1043" s="32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</row>
    <row r="1044" spans="2:13" x14ac:dyDescent="0.35">
      <c r="B1044" s="32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</row>
    <row r="1045" spans="2:13" x14ac:dyDescent="0.35">
      <c r="B1045" s="32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</row>
    <row r="1046" spans="2:13" x14ac:dyDescent="0.35">
      <c r="B1046" s="32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</row>
    <row r="1047" spans="2:13" x14ac:dyDescent="0.35">
      <c r="B1047" s="32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</row>
    <row r="1048" spans="2:13" x14ac:dyDescent="0.35">
      <c r="B1048" s="32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</row>
    <row r="1049" spans="2:13" x14ac:dyDescent="0.35">
      <c r="B1049" s="32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</row>
    <row r="1050" spans="2:13" x14ac:dyDescent="0.35">
      <c r="B1050" s="32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</row>
    <row r="1051" spans="2:13" x14ac:dyDescent="0.35">
      <c r="B1051" s="32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</row>
    <row r="1052" spans="2:13" x14ac:dyDescent="0.35">
      <c r="B1052" s="32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</row>
    <row r="1053" spans="2:13" x14ac:dyDescent="0.35">
      <c r="B1053" s="32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</row>
    <row r="1054" spans="2:13" x14ac:dyDescent="0.35">
      <c r="B1054" s="32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</row>
    <row r="1055" spans="2:13" x14ac:dyDescent="0.35">
      <c r="B1055" s="32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</row>
    <row r="1056" spans="2:13" x14ac:dyDescent="0.35">
      <c r="B1056" s="32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</row>
    <row r="1057" spans="2:13" x14ac:dyDescent="0.35">
      <c r="B1057" s="32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</row>
    <row r="1058" spans="2:13" x14ac:dyDescent="0.35">
      <c r="B1058" s="32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</row>
    <row r="1059" spans="2:13" x14ac:dyDescent="0.35">
      <c r="B1059" s="32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</row>
    <row r="1060" spans="2:13" x14ac:dyDescent="0.35">
      <c r="B1060" s="32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</row>
    <row r="1061" spans="2:13" x14ac:dyDescent="0.35">
      <c r="B1061" s="32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</row>
    <row r="1062" spans="2:13" x14ac:dyDescent="0.35">
      <c r="B1062" s="32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</row>
    <row r="1063" spans="2:13" x14ac:dyDescent="0.35">
      <c r="B1063" s="32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</row>
    <row r="1064" spans="2:13" x14ac:dyDescent="0.35">
      <c r="B1064" s="32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</row>
    <row r="1065" spans="2:13" x14ac:dyDescent="0.35">
      <c r="B1065" s="32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</row>
    <row r="1066" spans="2:13" x14ac:dyDescent="0.35">
      <c r="B1066" s="32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</row>
    <row r="1067" spans="2:13" x14ac:dyDescent="0.35">
      <c r="B1067" s="32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</row>
    <row r="1068" spans="2:13" x14ac:dyDescent="0.35">
      <c r="B1068" s="32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</row>
    <row r="1069" spans="2:13" x14ac:dyDescent="0.35">
      <c r="B1069" s="32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</row>
    <row r="1070" spans="2:13" x14ac:dyDescent="0.35">
      <c r="B1070" s="32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</row>
    <row r="1071" spans="2:13" x14ac:dyDescent="0.35">
      <c r="B1071" s="32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</row>
    <row r="1072" spans="2:13" x14ac:dyDescent="0.35">
      <c r="B1072" s="32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</row>
    <row r="1073" spans="2:13" x14ac:dyDescent="0.35">
      <c r="B1073" s="32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</row>
    <row r="1074" spans="2:13" x14ac:dyDescent="0.35">
      <c r="B1074" s="32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</row>
    <row r="1075" spans="2:13" x14ac:dyDescent="0.35">
      <c r="B1075" s="32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</row>
    <row r="1076" spans="2:13" x14ac:dyDescent="0.35">
      <c r="B1076" s="32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</row>
    <row r="1077" spans="2:13" x14ac:dyDescent="0.35">
      <c r="B1077" s="32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</row>
    <row r="1078" spans="2:13" x14ac:dyDescent="0.35">
      <c r="B1078" s="32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</row>
    <row r="1079" spans="2:13" x14ac:dyDescent="0.35">
      <c r="B1079" s="32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</row>
    <row r="1080" spans="2:13" x14ac:dyDescent="0.35">
      <c r="B1080" s="32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</row>
    <row r="1081" spans="2:13" x14ac:dyDescent="0.35">
      <c r="B1081" s="32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</row>
    <row r="1082" spans="2:13" x14ac:dyDescent="0.35">
      <c r="B1082" s="32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</row>
    <row r="1083" spans="2:13" x14ac:dyDescent="0.35">
      <c r="B1083" s="32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</row>
    <row r="1084" spans="2:13" x14ac:dyDescent="0.35">
      <c r="B1084" s="32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</row>
    <row r="1085" spans="2:13" x14ac:dyDescent="0.35">
      <c r="B1085" s="32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</row>
    <row r="1086" spans="2:13" x14ac:dyDescent="0.35">
      <c r="B1086" s="32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</row>
    <row r="1087" spans="2:13" x14ac:dyDescent="0.35">
      <c r="B1087" s="32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</row>
    <row r="1088" spans="2:13" x14ac:dyDescent="0.35">
      <c r="B1088" s="32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</row>
    <row r="1089" spans="2:13" x14ac:dyDescent="0.35">
      <c r="B1089" s="32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</row>
    <row r="1090" spans="2:13" x14ac:dyDescent="0.35">
      <c r="B1090" s="32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</row>
    <row r="1091" spans="2:13" x14ac:dyDescent="0.35">
      <c r="B1091" s="32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</row>
    <row r="1092" spans="2:13" x14ac:dyDescent="0.35">
      <c r="B1092" s="32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</row>
    <row r="1093" spans="2:13" x14ac:dyDescent="0.35">
      <c r="B1093" s="32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</row>
    <row r="1094" spans="2:13" x14ac:dyDescent="0.35">
      <c r="B1094" s="32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</row>
    <row r="1095" spans="2:13" x14ac:dyDescent="0.35">
      <c r="B1095" s="32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</row>
    <row r="1096" spans="2:13" x14ac:dyDescent="0.35">
      <c r="B1096" s="32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</row>
    <row r="1097" spans="2:13" x14ac:dyDescent="0.35">
      <c r="B1097" s="32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</row>
    <row r="1098" spans="2:13" x14ac:dyDescent="0.35">
      <c r="B1098" s="32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</row>
    <row r="1099" spans="2:13" x14ac:dyDescent="0.35">
      <c r="B1099" s="32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</row>
    <row r="1100" spans="2:13" x14ac:dyDescent="0.35">
      <c r="B1100" s="32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</row>
    <row r="1101" spans="2:13" x14ac:dyDescent="0.35">
      <c r="B1101" s="32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</row>
    <row r="1102" spans="2:13" x14ac:dyDescent="0.35">
      <c r="B1102" s="32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</row>
    <row r="1103" spans="2:13" x14ac:dyDescent="0.35">
      <c r="B1103" s="32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</row>
    <row r="1104" spans="2:13" x14ac:dyDescent="0.35">
      <c r="B1104" s="32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</row>
    <row r="1105" spans="2:13" x14ac:dyDescent="0.35">
      <c r="B1105" s="32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</row>
    <row r="1106" spans="2:13" x14ac:dyDescent="0.35">
      <c r="B1106" s="32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</row>
    <row r="1107" spans="2:13" x14ac:dyDescent="0.35">
      <c r="B1107" s="32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</row>
    <row r="1108" spans="2:13" x14ac:dyDescent="0.35">
      <c r="B1108" s="32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</row>
    <row r="1109" spans="2:13" x14ac:dyDescent="0.35">
      <c r="B1109" s="32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</row>
    <row r="1110" spans="2:13" x14ac:dyDescent="0.35">
      <c r="B1110" s="32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</row>
    <row r="1111" spans="2:13" x14ac:dyDescent="0.35">
      <c r="B1111" s="32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</row>
    <row r="1112" spans="2:13" x14ac:dyDescent="0.35">
      <c r="B1112" s="32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</row>
    <row r="1113" spans="2:13" x14ac:dyDescent="0.35">
      <c r="B1113" s="32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</row>
    <row r="1114" spans="2:13" x14ac:dyDescent="0.35">
      <c r="B1114" s="32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</row>
    <row r="1115" spans="2:13" x14ac:dyDescent="0.35">
      <c r="B1115" s="32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</row>
    <row r="1116" spans="2:13" x14ac:dyDescent="0.35">
      <c r="B1116" s="32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</row>
    <row r="1117" spans="2:13" x14ac:dyDescent="0.35">
      <c r="B1117" s="32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</row>
    <row r="1118" spans="2:13" x14ac:dyDescent="0.35">
      <c r="B1118" s="32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</row>
    <row r="1119" spans="2:13" x14ac:dyDescent="0.35">
      <c r="B1119" s="32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</row>
    <row r="1120" spans="2:13" x14ac:dyDescent="0.35">
      <c r="B1120" s="32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</row>
    <row r="1121" spans="2:13" x14ac:dyDescent="0.35">
      <c r="B1121" s="32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</row>
    <row r="1122" spans="2:13" x14ac:dyDescent="0.35">
      <c r="B1122" s="32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</row>
    <row r="1123" spans="2:13" x14ac:dyDescent="0.35">
      <c r="B1123" s="32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</row>
    <row r="1124" spans="2:13" x14ac:dyDescent="0.35">
      <c r="B1124" s="32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</row>
    <row r="1125" spans="2:13" x14ac:dyDescent="0.35">
      <c r="B1125" s="32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</row>
    <row r="1126" spans="2:13" x14ac:dyDescent="0.35">
      <c r="B1126" s="32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</row>
    <row r="1127" spans="2:13" x14ac:dyDescent="0.35">
      <c r="B1127" s="32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</row>
    <row r="1128" spans="2:13" x14ac:dyDescent="0.35">
      <c r="B1128" s="32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</row>
    <row r="1129" spans="2:13" x14ac:dyDescent="0.35">
      <c r="B1129" s="32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</row>
    <row r="1130" spans="2:13" x14ac:dyDescent="0.35">
      <c r="B1130" s="32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</row>
    <row r="1131" spans="2:13" x14ac:dyDescent="0.35">
      <c r="B1131" s="32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</row>
    <row r="1132" spans="2:13" x14ac:dyDescent="0.35">
      <c r="B1132" s="32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</row>
    <row r="1133" spans="2:13" x14ac:dyDescent="0.35">
      <c r="B1133" s="32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</row>
    <row r="1134" spans="2:13" x14ac:dyDescent="0.35">
      <c r="B1134" s="32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</row>
    <row r="1135" spans="2:13" x14ac:dyDescent="0.35">
      <c r="B1135" s="32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</row>
    <row r="1136" spans="2:13" x14ac:dyDescent="0.35">
      <c r="B1136" s="32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</row>
    <row r="1137" spans="2:13" x14ac:dyDescent="0.35">
      <c r="B1137" s="32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</row>
    <row r="1138" spans="2:13" x14ac:dyDescent="0.35">
      <c r="B1138" s="32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</row>
    <row r="1139" spans="2:13" x14ac:dyDescent="0.35">
      <c r="B1139" s="32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</row>
    <row r="1140" spans="2:13" x14ac:dyDescent="0.35">
      <c r="B1140" s="32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</row>
    <row r="1141" spans="2:13" x14ac:dyDescent="0.35">
      <c r="B1141" s="32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</row>
    <row r="1142" spans="2:13" x14ac:dyDescent="0.35">
      <c r="B1142" s="32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</row>
    <row r="1143" spans="2:13" x14ac:dyDescent="0.35">
      <c r="B1143" s="32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</row>
    <row r="1144" spans="2:13" x14ac:dyDescent="0.35">
      <c r="B1144" s="32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</row>
    <row r="1145" spans="2:13" x14ac:dyDescent="0.35">
      <c r="B1145" s="32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</row>
    <row r="1146" spans="2:13" x14ac:dyDescent="0.35">
      <c r="B1146" s="32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</row>
    <row r="1147" spans="2:13" x14ac:dyDescent="0.35">
      <c r="B1147" s="32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</row>
    <row r="1148" spans="2:13" x14ac:dyDescent="0.35">
      <c r="B1148" s="32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</row>
    <row r="1149" spans="2:13" x14ac:dyDescent="0.35">
      <c r="B1149" s="32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</row>
    <row r="1150" spans="2:13" x14ac:dyDescent="0.35">
      <c r="B1150" s="32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</row>
    <row r="1151" spans="2:13" x14ac:dyDescent="0.35">
      <c r="B1151" s="32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</row>
    <row r="1152" spans="2:13" x14ac:dyDescent="0.35">
      <c r="B1152" s="32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</row>
    <row r="1153" spans="2:13" x14ac:dyDescent="0.35">
      <c r="B1153" s="32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</row>
    <row r="1154" spans="2:13" x14ac:dyDescent="0.35">
      <c r="B1154" s="32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</row>
    <row r="1155" spans="2:13" x14ac:dyDescent="0.35">
      <c r="B1155" s="32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</row>
    <row r="1156" spans="2:13" x14ac:dyDescent="0.35">
      <c r="B1156" s="32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</row>
    <row r="1157" spans="2:13" x14ac:dyDescent="0.35">
      <c r="B1157" s="32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</row>
    <row r="1158" spans="2:13" x14ac:dyDescent="0.35">
      <c r="B1158" s="32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</row>
    <row r="1159" spans="2:13" x14ac:dyDescent="0.35">
      <c r="B1159" s="32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</row>
    <row r="1160" spans="2:13" x14ac:dyDescent="0.35">
      <c r="B1160" s="32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</row>
    <row r="1161" spans="2:13" x14ac:dyDescent="0.35">
      <c r="B1161" s="32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</row>
    <row r="1162" spans="2:13" x14ac:dyDescent="0.35">
      <c r="B1162" s="32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</row>
    <row r="1163" spans="2:13" x14ac:dyDescent="0.35">
      <c r="B1163" s="32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</row>
    <row r="1164" spans="2:13" x14ac:dyDescent="0.35">
      <c r="B1164" s="32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</row>
    <row r="1165" spans="2:13" x14ac:dyDescent="0.35">
      <c r="B1165" s="32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</row>
    <row r="1166" spans="2:13" x14ac:dyDescent="0.35">
      <c r="B1166" s="32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</row>
    <row r="1167" spans="2:13" x14ac:dyDescent="0.35">
      <c r="B1167" s="32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</row>
    <row r="1168" spans="2:13" x14ac:dyDescent="0.35">
      <c r="B1168" s="32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</row>
    <row r="1169" spans="2:13" x14ac:dyDescent="0.35">
      <c r="B1169" s="32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</row>
    <row r="1170" spans="2:13" x14ac:dyDescent="0.35">
      <c r="B1170" s="32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</row>
    <row r="1171" spans="2:13" x14ac:dyDescent="0.35">
      <c r="B1171" s="32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</row>
    <row r="1172" spans="2:13" x14ac:dyDescent="0.35">
      <c r="B1172" s="32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</row>
    <row r="1173" spans="2:13" x14ac:dyDescent="0.35">
      <c r="B1173" s="32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</row>
    <row r="1174" spans="2:13" x14ac:dyDescent="0.35">
      <c r="B1174" s="32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</row>
    <row r="1175" spans="2:13" x14ac:dyDescent="0.35">
      <c r="B1175" s="32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</row>
    <row r="1176" spans="2:13" x14ac:dyDescent="0.35">
      <c r="B1176" s="32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</row>
    <row r="1177" spans="2:13" x14ac:dyDescent="0.35">
      <c r="B1177" s="32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</row>
    <row r="1178" spans="2:13" x14ac:dyDescent="0.35">
      <c r="B1178" s="32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</row>
    <row r="1179" spans="2:13" x14ac:dyDescent="0.35">
      <c r="B1179" s="32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</row>
    <row r="1180" spans="2:13" x14ac:dyDescent="0.35">
      <c r="B1180" s="32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</row>
    <row r="1181" spans="2:13" x14ac:dyDescent="0.35">
      <c r="B1181" s="32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</row>
    <row r="1182" spans="2:13" x14ac:dyDescent="0.35">
      <c r="B1182" s="32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</row>
    <row r="1183" spans="2:13" x14ac:dyDescent="0.35">
      <c r="B1183" s="32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</row>
    <row r="1184" spans="2:13" x14ac:dyDescent="0.35">
      <c r="B1184" s="32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</row>
    <row r="1185" spans="2:13" x14ac:dyDescent="0.35">
      <c r="B1185" s="32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</row>
    <row r="1186" spans="2:13" x14ac:dyDescent="0.35">
      <c r="B1186" s="32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</row>
    <row r="1187" spans="2:13" x14ac:dyDescent="0.35">
      <c r="B1187" s="32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</row>
    <row r="1188" spans="2:13" x14ac:dyDescent="0.35">
      <c r="B1188" s="32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</row>
    <row r="1189" spans="2:13" x14ac:dyDescent="0.35">
      <c r="B1189" s="32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</row>
    <row r="1190" spans="2:13" x14ac:dyDescent="0.35">
      <c r="B1190" s="32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</row>
    <row r="1191" spans="2:13" x14ac:dyDescent="0.35">
      <c r="B1191" s="32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</row>
    <row r="1192" spans="2:13" x14ac:dyDescent="0.35">
      <c r="B1192" s="32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</row>
    <row r="1193" spans="2:13" x14ac:dyDescent="0.35">
      <c r="B1193" s="32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</row>
    <row r="1194" spans="2:13" x14ac:dyDescent="0.35">
      <c r="B1194" s="32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</row>
    <row r="1195" spans="2:13" x14ac:dyDescent="0.35">
      <c r="B1195" s="32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</row>
    <row r="1196" spans="2:13" x14ac:dyDescent="0.35">
      <c r="B1196" s="32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</row>
    <row r="1197" spans="2:13" x14ac:dyDescent="0.35">
      <c r="B1197" s="32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</row>
    <row r="1198" spans="2:13" x14ac:dyDescent="0.35">
      <c r="B1198" s="32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</row>
    <row r="1199" spans="2:13" x14ac:dyDescent="0.35">
      <c r="B1199" s="32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</row>
    <row r="1200" spans="2:13" x14ac:dyDescent="0.35">
      <c r="B1200" s="32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</row>
    <row r="1201" spans="2:13" x14ac:dyDescent="0.35">
      <c r="B1201" s="32"/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</row>
    <row r="1202" spans="2:13" x14ac:dyDescent="0.35">
      <c r="B1202" s="32"/>
      <c r="C1202" s="35"/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</row>
    <row r="1203" spans="2:13" x14ac:dyDescent="0.35">
      <c r="B1203" s="32"/>
      <c r="C1203" s="35"/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</row>
    <row r="1204" spans="2:13" x14ac:dyDescent="0.35">
      <c r="B1204" s="32"/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</row>
    <row r="1205" spans="2:13" x14ac:dyDescent="0.35">
      <c r="B1205" s="32"/>
      <c r="C1205" s="35"/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</row>
    <row r="1206" spans="2:13" x14ac:dyDescent="0.35">
      <c r="B1206" s="32"/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</row>
    <row r="1207" spans="2:13" x14ac:dyDescent="0.35">
      <c r="B1207" s="32"/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</row>
    <row r="1208" spans="2:13" x14ac:dyDescent="0.35">
      <c r="B1208" s="32"/>
      <c r="C1208" s="35"/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</row>
    <row r="1209" spans="2:13" x14ac:dyDescent="0.35">
      <c r="B1209" s="32"/>
      <c r="C1209" s="35"/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</row>
    <row r="1210" spans="2:13" x14ac:dyDescent="0.35">
      <c r="B1210" s="32"/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</row>
    <row r="1211" spans="2:13" x14ac:dyDescent="0.35">
      <c r="B1211" s="32"/>
      <c r="C1211" s="35"/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</row>
    <row r="1212" spans="2:13" x14ac:dyDescent="0.35">
      <c r="B1212" s="32"/>
      <c r="C1212" s="35"/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</row>
    <row r="1213" spans="2:13" x14ac:dyDescent="0.35">
      <c r="B1213" s="32"/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</row>
    <row r="1214" spans="2:13" x14ac:dyDescent="0.35">
      <c r="B1214" s="32"/>
      <c r="C1214" s="35"/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</row>
    <row r="1215" spans="2:13" x14ac:dyDescent="0.35">
      <c r="B1215" s="32"/>
      <c r="C1215" s="35"/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</row>
    <row r="1216" spans="2:13" x14ac:dyDescent="0.35">
      <c r="B1216" s="32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</row>
    <row r="1217" spans="2:13" x14ac:dyDescent="0.35">
      <c r="B1217" s="32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</row>
    <row r="1218" spans="2:13" x14ac:dyDescent="0.35">
      <c r="B1218" s="32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</row>
    <row r="1219" spans="2:13" x14ac:dyDescent="0.35">
      <c r="B1219" s="32"/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</row>
    <row r="1220" spans="2:13" x14ac:dyDescent="0.35">
      <c r="B1220" s="32"/>
      <c r="C1220" s="35"/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</row>
    <row r="1221" spans="2:13" x14ac:dyDescent="0.35">
      <c r="B1221" s="32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</row>
    <row r="1222" spans="2:13" x14ac:dyDescent="0.35">
      <c r="B1222" s="32"/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</row>
    <row r="1223" spans="2:13" x14ac:dyDescent="0.35">
      <c r="B1223" s="32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</row>
    <row r="1224" spans="2:13" x14ac:dyDescent="0.35">
      <c r="B1224" s="32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</row>
    <row r="1225" spans="2:13" x14ac:dyDescent="0.35">
      <c r="B1225" s="32"/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</row>
    <row r="1226" spans="2:13" x14ac:dyDescent="0.35">
      <c r="B1226" s="32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</row>
    <row r="1227" spans="2:13" x14ac:dyDescent="0.35">
      <c r="B1227" s="32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</row>
    <row r="1228" spans="2:13" x14ac:dyDescent="0.35">
      <c r="B1228" s="32"/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</row>
    <row r="1229" spans="2:13" x14ac:dyDescent="0.35">
      <c r="B1229" s="32"/>
      <c r="C1229" s="35"/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</row>
    <row r="1230" spans="2:13" x14ac:dyDescent="0.35">
      <c r="B1230" s="32"/>
      <c r="C1230" s="35"/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</row>
    <row r="1231" spans="2:13" x14ac:dyDescent="0.35">
      <c r="B1231" s="32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</row>
    <row r="1232" spans="2:13" x14ac:dyDescent="0.35">
      <c r="B1232" s="32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</row>
    <row r="1233" spans="2:13" x14ac:dyDescent="0.35">
      <c r="B1233" s="32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</row>
    <row r="1234" spans="2:13" x14ac:dyDescent="0.35">
      <c r="B1234" s="32"/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</row>
    <row r="1235" spans="2:13" x14ac:dyDescent="0.35">
      <c r="B1235" s="32"/>
      <c r="C1235" s="35"/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</row>
    <row r="1236" spans="2:13" x14ac:dyDescent="0.35">
      <c r="B1236" s="32"/>
      <c r="C1236" s="35"/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</row>
    <row r="1237" spans="2:13" x14ac:dyDescent="0.35">
      <c r="B1237" s="32"/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</row>
    <row r="1238" spans="2:13" x14ac:dyDescent="0.35">
      <c r="B1238" s="32"/>
      <c r="C1238" s="35"/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</row>
    <row r="1239" spans="2:13" x14ac:dyDescent="0.35">
      <c r="B1239" s="32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</row>
    <row r="1240" spans="2:13" x14ac:dyDescent="0.35">
      <c r="B1240" s="32"/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</row>
    <row r="1241" spans="2:13" x14ac:dyDescent="0.35">
      <c r="B1241" s="32"/>
      <c r="C1241" s="35"/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</row>
    <row r="1242" spans="2:13" x14ac:dyDescent="0.35">
      <c r="B1242" s="32"/>
      <c r="C1242" s="35"/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</row>
    <row r="1243" spans="2:13" x14ac:dyDescent="0.35">
      <c r="B1243" s="32"/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</row>
    <row r="1244" spans="2:13" x14ac:dyDescent="0.35">
      <c r="B1244" s="32"/>
      <c r="C1244" s="35"/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</row>
    <row r="1245" spans="2:13" x14ac:dyDescent="0.35">
      <c r="B1245" s="32"/>
      <c r="C1245" s="35"/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</row>
    <row r="1246" spans="2:13" x14ac:dyDescent="0.35">
      <c r="B1246" s="32"/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</row>
    <row r="1247" spans="2:13" x14ac:dyDescent="0.35">
      <c r="B1247" s="32"/>
      <c r="C1247" s="35"/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</row>
    <row r="1248" spans="2:13" x14ac:dyDescent="0.35">
      <c r="B1248" s="32"/>
      <c r="C1248" s="35"/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</row>
    <row r="1249" spans="2:13" x14ac:dyDescent="0.35">
      <c r="B1249" s="32"/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</row>
    <row r="1250" spans="2:13" x14ac:dyDescent="0.35">
      <c r="B1250" s="32"/>
      <c r="C1250" s="35"/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</row>
    <row r="1251" spans="2:13" x14ac:dyDescent="0.35">
      <c r="B1251" s="32"/>
      <c r="C1251" s="35"/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</row>
    <row r="1252" spans="2:13" x14ac:dyDescent="0.35">
      <c r="B1252" s="32"/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</row>
    <row r="1253" spans="2:13" x14ac:dyDescent="0.35">
      <c r="B1253" s="32"/>
      <c r="C1253" s="35"/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</row>
    <row r="1254" spans="2:13" x14ac:dyDescent="0.35">
      <c r="B1254" s="32"/>
      <c r="C1254" s="35"/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</row>
    <row r="1255" spans="2:13" x14ac:dyDescent="0.35">
      <c r="B1255" s="32"/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</row>
    <row r="1256" spans="2:13" x14ac:dyDescent="0.35">
      <c r="B1256" s="32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</row>
    <row r="1257" spans="2:13" x14ac:dyDescent="0.35">
      <c r="B1257" s="32"/>
      <c r="C1257" s="35"/>
      <c r="D1257" s="35"/>
      <c r="E1257" s="35"/>
      <c r="F1257" s="35"/>
      <c r="G1257" s="35"/>
      <c r="H1257" s="35"/>
      <c r="I1257" s="35"/>
      <c r="J1257" s="35"/>
      <c r="K1257" s="35"/>
      <c r="L1257" s="35"/>
      <c r="M1257" s="35"/>
    </row>
    <row r="1258" spans="2:13" x14ac:dyDescent="0.35">
      <c r="B1258" s="32"/>
      <c r="C1258" s="35"/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</row>
    <row r="1259" spans="2:13" x14ac:dyDescent="0.35">
      <c r="B1259" s="32"/>
      <c r="C1259" s="35"/>
      <c r="D1259" s="35"/>
      <c r="E1259" s="35"/>
      <c r="F1259" s="35"/>
      <c r="G1259" s="35"/>
      <c r="H1259" s="35"/>
      <c r="I1259" s="35"/>
      <c r="J1259" s="35"/>
      <c r="K1259" s="35"/>
      <c r="L1259" s="35"/>
      <c r="M1259" s="35"/>
    </row>
    <row r="1260" spans="2:13" x14ac:dyDescent="0.35">
      <c r="B1260" s="32"/>
      <c r="C1260" s="35"/>
      <c r="D1260" s="35"/>
      <c r="E1260" s="35"/>
      <c r="F1260" s="35"/>
      <c r="G1260" s="35"/>
      <c r="H1260" s="35"/>
      <c r="I1260" s="35"/>
      <c r="J1260" s="35"/>
      <c r="K1260" s="35"/>
      <c r="L1260" s="35"/>
      <c r="M1260" s="35"/>
    </row>
    <row r="1261" spans="2:13" x14ac:dyDescent="0.35">
      <c r="B1261" s="32"/>
      <c r="C1261" s="35"/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</row>
    <row r="1262" spans="2:13" x14ac:dyDescent="0.35">
      <c r="B1262" s="32"/>
      <c r="C1262" s="35"/>
      <c r="D1262" s="35"/>
      <c r="E1262" s="35"/>
      <c r="F1262" s="35"/>
      <c r="G1262" s="35"/>
      <c r="H1262" s="35"/>
      <c r="I1262" s="35"/>
      <c r="J1262" s="35"/>
      <c r="K1262" s="35"/>
      <c r="L1262" s="35"/>
      <c r="M1262" s="35"/>
    </row>
    <row r="1263" spans="2:13" x14ac:dyDescent="0.35">
      <c r="B1263" s="32"/>
      <c r="C1263" s="35"/>
      <c r="D1263" s="35"/>
      <c r="E1263" s="35"/>
      <c r="F1263" s="35"/>
      <c r="G1263" s="35"/>
      <c r="H1263" s="35"/>
      <c r="I1263" s="35"/>
      <c r="J1263" s="35"/>
      <c r="K1263" s="35"/>
      <c r="L1263" s="35"/>
      <c r="M1263" s="35"/>
    </row>
    <row r="1264" spans="2:13" x14ac:dyDescent="0.35">
      <c r="B1264" s="32"/>
      <c r="C1264" s="35"/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</row>
    <row r="1265" spans="2:13" x14ac:dyDescent="0.35">
      <c r="B1265" s="32"/>
      <c r="C1265" s="35"/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</row>
    <row r="1266" spans="2:13" x14ac:dyDescent="0.35">
      <c r="B1266" s="32"/>
      <c r="C1266" s="35"/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</row>
    <row r="1267" spans="2:13" x14ac:dyDescent="0.35">
      <c r="B1267" s="32"/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</row>
    <row r="1268" spans="2:13" x14ac:dyDescent="0.35">
      <c r="B1268" s="32"/>
      <c r="C1268" s="35"/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</row>
    <row r="1269" spans="2:13" x14ac:dyDescent="0.35">
      <c r="B1269" s="32"/>
      <c r="C1269" s="35"/>
      <c r="D1269" s="35"/>
      <c r="E1269" s="35"/>
      <c r="F1269" s="35"/>
      <c r="G1269" s="35"/>
      <c r="H1269" s="35"/>
      <c r="I1269" s="35"/>
      <c r="J1269" s="35"/>
      <c r="K1269" s="35"/>
      <c r="L1269" s="35"/>
      <c r="M1269" s="35"/>
    </row>
    <row r="1270" spans="2:13" x14ac:dyDescent="0.35">
      <c r="B1270" s="32"/>
      <c r="C1270" s="35"/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</row>
    <row r="1271" spans="2:13" x14ac:dyDescent="0.35">
      <c r="B1271" s="32"/>
      <c r="C1271" s="35"/>
      <c r="D1271" s="35"/>
      <c r="E1271" s="35"/>
      <c r="F1271" s="35"/>
      <c r="G1271" s="35"/>
      <c r="H1271" s="35"/>
      <c r="I1271" s="35"/>
      <c r="J1271" s="35"/>
      <c r="K1271" s="35"/>
      <c r="L1271" s="35"/>
      <c r="M1271" s="35"/>
    </row>
    <row r="1272" spans="2:13" x14ac:dyDescent="0.35">
      <c r="B1272" s="32"/>
      <c r="C1272" s="35"/>
      <c r="D1272" s="35"/>
      <c r="E1272" s="35"/>
      <c r="F1272" s="35"/>
      <c r="G1272" s="35"/>
      <c r="H1272" s="35"/>
      <c r="I1272" s="35"/>
      <c r="J1272" s="35"/>
      <c r="K1272" s="35"/>
      <c r="L1272" s="35"/>
      <c r="M1272" s="35"/>
    </row>
    <row r="1273" spans="2:13" x14ac:dyDescent="0.35">
      <c r="B1273" s="32"/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</row>
    <row r="1274" spans="2:13" x14ac:dyDescent="0.35">
      <c r="B1274" s="32"/>
      <c r="C1274" s="35"/>
      <c r="D1274" s="35"/>
      <c r="E1274" s="35"/>
      <c r="F1274" s="35"/>
      <c r="G1274" s="35"/>
      <c r="H1274" s="35"/>
      <c r="I1274" s="35"/>
      <c r="J1274" s="35"/>
      <c r="K1274" s="35"/>
      <c r="L1274" s="35"/>
      <c r="M1274" s="35"/>
    </row>
    <row r="1275" spans="2:13" x14ac:dyDescent="0.35">
      <c r="B1275" s="32"/>
      <c r="C1275" s="35"/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</row>
    <row r="1276" spans="2:13" x14ac:dyDescent="0.35">
      <c r="B1276" s="32"/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</row>
    <row r="1277" spans="2:13" x14ac:dyDescent="0.35">
      <c r="B1277" s="32"/>
      <c r="C1277" s="35"/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</row>
    <row r="1278" spans="2:13" x14ac:dyDescent="0.35">
      <c r="B1278" s="32"/>
      <c r="C1278" s="35"/>
      <c r="D1278" s="35"/>
      <c r="E1278" s="35"/>
      <c r="F1278" s="35"/>
      <c r="G1278" s="35"/>
      <c r="H1278" s="35"/>
      <c r="I1278" s="35"/>
      <c r="J1278" s="35"/>
      <c r="K1278" s="35"/>
      <c r="L1278" s="35"/>
      <c r="M1278" s="35"/>
    </row>
    <row r="1279" spans="2:13" x14ac:dyDescent="0.35">
      <c r="B1279" s="32"/>
      <c r="C1279" s="35"/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</row>
    <row r="1280" spans="2:13" x14ac:dyDescent="0.35">
      <c r="B1280" s="32"/>
      <c r="C1280" s="35"/>
      <c r="D1280" s="35"/>
      <c r="E1280" s="35"/>
      <c r="F1280" s="35"/>
      <c r="G1280" s="35"/>
      <c r="H1280" s="35"/>
      <c r="I1280" s="35"/>
      <c r="J1280" s="35"/>
      <c r="K1280" s="35"/>
      <c r="L1280" s="35"/>
      <c r="M1280" s="35"/>
    </row>
    <row r="1281" spans="2:13" x14ac:dyDescent="0.35">
      <c r="B1281" s="32"/>
      <c r="C1281" s="35"/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</row>
    <row r="1282" spans="2:13" x14ac:dyDescent="0.35">
      <c r="B1282" s="32"/>
      <c r="C1282" s="35"/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</row>
    <row r="1283" spans="2:13" x14ac:dyDescent="0.35">
      <c r="B1283" s="32"/>
      <c r="C1283" s="35"/>
      <c r="D1283" s="35"/>
      <c r="E1283" s="35"/>
      <c r="F1283" s="35"/>
      <c r="G1283" s="35"/>
      <c r="H1283" s="35"/>
      <c r="I1283" s="35"/>
      <c r="J1283" s="35"/>
      <c r="K1283" s="35"/>
      <c r="L1283" s="35"/>
      <c r="M1283" s="35"/>
    </row>
    <row r="1284" spans="2:13" x14ac:dyDescent="0.35">
      <c r="B1284" s="32"/>
      <c r="C1284" s="35"/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</row>
    <row r="1285" spans="2:13" x14ac:dyDescent="0.35">
      <c r="B1285" s="32"/>
      <c r="C1285" s="35"/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</row>
    <row r="1286" spans="2:13" x14ac:dyDescent="0.35">
      <c r="B1286" s="32"/>
      <c r="C1286" s="35"/>
      <c r="D1286" s="35"/>
      <c r="E1286" s="35"/>
      <c r="F1286" s="35"/>
      <c r="G1286" s="35"/>
      <c r="H1286" s="35"/>
      <c r="I1286" s="35"/>
      <c r="J1286" s="35"/>
      <c r="K1286" s="35"/>
      <c r="L1286" s="35"/>
      <c r="M1286" s="35"/>
    </row>
    <row r="1287" spans="2:13" x14ac:dyDescent="0.35">
      <c r="B1287" s="32"/>
      <c r="C1287" s="35"/>
      <c r="D1287" s="35"/>
      <c r="E1287" s="35"/>
      <c r="F1287" s="35"/>
      <c r="G1287" s="35"/>
      <c r="H1287" s="35"/>
      <c r="I1287" s="35"/>
      <c r="J1287" s="35"/>
      <c r="K1287" s="35"/>
      <c r="L1287" s="35"/>
      <c r="M1287" s="35"/>
    </row>
    <row r="1288" spans="2:13" x14ac:dyDescent="0.35">
      <c r="B1288" s="32"/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</row>
    <row r="1289" spans="2:13" x14ac:dyDescent="0.35">
      <c r="B1289" s="32"/>
      <c r="C1289" s="35"/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</row>
    <row r="1290" spans="2:13" x14ac:dyDescent="0.35">
      <c r="B1290" s="32"/>
      <c r="C1290" s="35"/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</row>
    <row r="1291" spans="2:13" x14ac:dyDescent="0.35">
      <c r="B1291" s="32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</row>
    <row r="1292" spans="2:13" x14ac:dyDescent="0.35">
      <c r="B1292" s="32"/>
      <c r="C1292" s="35"/>
      <c r="D1292" s="35"/>
      <c r="E1292" s="35"/>
      <c r="F1292" s="35"/>
      <c r="G1292" s="35"/>
      <c r="H1292" s="35"/>
      <c r="I1292" s="35"/>
      <c r="J1292" s="35"/>
      <c r="K1292" s="35"/>
      <c r="L1292" s="35"/>
      <c r="M1292" s="35"/>
    </row>
    <row r="1293" spans="2:13" x14ac:dyDescent="0.35">
      <c r="B1293" s="32"/>
      <c r="C1293" s="35"/>
      <c r="D1293" s="35"/>
      <c r="E1293" s="35"/>
      <c r="F1293" s="35"/>
      <c r="G1293" s="35"/>
      <c r="H1293" s="35"/>
      <c r="I1293" s="35"/>
      <c r="J1293" s="35"/>
      <c r="K1293" s="35"/>
      <c r="L1293" s="35"/>
      <c r="M1293" s="35"/>
    </row>
    <row r="1294" spans="2:13" x14ac:dyDescent="0.35">
      <c r="B1294" s="32"/>
      <c r="C1294" s="35"/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</row>
    <row r="1295" spans="2:13" x14ac:dyDescent="0.35">
      <c r="B1295" s="32"/>
      <c r="C1295" s="35"/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</row>
    <row r="1296" spans="2:13" x14ac:dyDescent="0.35">
      <c r="B1296" s="32"/>
      <c r="C1296" s="35"/>
      <c r="D1296" s="35"/>
      <c r="E1296" s="35"/>
      <c r="F1296" s="35"/>
      <c r="G1296" s="35"/>
      <c r="H1296" s="35"/>
      <c r="I1296" s="35"/>
      <c r="J1296" s="35"/>
      <c r="K1296" s="35"/>
      <c r="L1296" s="35"/>
      <c r="M1296" s="35"/>
    </row>
    <row r="1297" spans="2:13" x14ac:dyDescent="0.35">
      <c r="B1297" s="32"/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</row>
    <row r="1298" spans="2:13" x14ac:dyDescent="0.35">
      <c r="B1298" s="32"/>
      <c r="C1298" s="35"/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</row>
    <row r="1299" spans="2:13" x14ac:dyDescent="0.35">
      <c r="B1299" s="32"/>
      <c r="C1299" s="35"/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</row>
    <row r="1300" spans="2:13" x14ac:dyDescent="0.35">
      <c r="B1300" s="32"/>
      <c r="C1300" s="35"/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</row>
    <row r="1301" spans="2:13" x14ac:dyDescent="0.35">
      <c r="B1301" s="32"/>
      <c r="C1301" s="35"/>
      <c r="D1301" s="35"/>
      <c r="E1301" s="35"/>
      <c r="F1301" s="35"/>
      <c r="G1301" s="35"/>
      <c r="H1301" s="35"/>
      <c r="I1301" s="35"/>
      <c r="J1301" s="35"/>
      <c r="K1301" s="35"/>
      <c r="L1301" s="35"/>
      <c r="M1301" s="35"/>
    </row>
    <row r="1302" spans="2:13" x14ac:dyDescent="0.35">
      <c r="B1302" s="32"/>
      <c r="C1302" s="35"/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</row>
    <row r="1303" spans="2:13" x14ac:dyDescent="0.35">
      <c r="B1303" s="32"/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</row>
    <row r="1304" spans="2:13" x14ac:dyDescent="0.35">
      <c r="B1304" s="32"/>
      <c r="C1304" s="35"/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</row>
    <row r="1305" spans="2:13" x14ac:dyDescent="0.35">
      <c r="B1305" s="32"/>
      <c r="C1305" s="35"/>
      <c r="D1305" s="35"/>
      <c r="E1305" s="35"/>
      <c r="F1305" s="35"/>
      <c r="G1305" s="35"/>
      <c r="H1305" s="35"/>
      <c r="I1305" s="35"/>
      <c r="J1305" s="35"/>
      <c r="K1305" s="35"/>
      <c r="L1305" s="35"/>
      <c r="M1305" s="35"/>
    </row>
    <row r="1306" spans="2:13" x14ac:dyDescent="0.35">
      <c r="B1306" s="32"/>
      <c r="C1306" s="35"/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</row>
    <row r="1307" spans="2:13" x14ac:dyDescent="0.35">
      <c r="B1307" s="32"/>
      <c r="C1307" s="35"/>
      <c r="D1307" s="35"/>
      <c r="E1307" s="35"/>
      <c r="F1307" s="35"/>
      <c r="G1307" s="35"/>
      <c r="H1307" s="35"/>
      <c r="I1307" s="35"/>
      <c r="J1307" s="35"/>
      <c r="K1307" s="35"/>
      <c r="L1307" s="35"/>
      <c r="M1307" s="35"/>
    </row>
    <row r="1308" spans="2:13" x14ac:dyDescent="0.35">
      <c r="B1308" s="32"/>
      <c r="C1308" s="35"/>
      <c r="D1308" s="35"/>
      <c r="E1308" s="35"/>
      <c r="F1308" s="35"/>
      <c r="G1308" s="35"/>
      <c r="H1308" s="35"/>
      <c r="I1308" s="35"/>
      <c r="J1308" s="35"/>
      <c r="K1308" s="35"/>
      <c r="L1308" s="35"/>
      <c r="M1308" s="35"/>
    </row>
    <row r="1309" spans="2:13" x14ac:dyDescent="0.35">
      <c r="B1309" s="32"/>
      <c r="C1309" s="35"/>
      <c r="D1309" s="35"/>
      <c r="E1309" s="35"/>
      <c r="F1309" s="35"/>
      <c r="G1309" s="35"/>
      <c r="H1309" s="35"/>
      <c r="I1309" s="35"/>
      <c r="J1309" s="35"/>
      <c r="K1309" s="35"/>
      <c r="L1309" s="35"/>
      <c r="M1309" s="35"/>
    </row>
    <row r="1310" spans="2:13" x14ac:dyDescent="0.35">
      <c r="B1310" s="32"/>
      <c r="C1310" s="35"/>
      <c r="D1310" s="35"/>
      <c r="E1310" s="35"/>
      <c r="F1310" s="35"/>
      <c r="G1310" s="35"/>
      <c r="H1310" s="35"/>
      <c r="I1310" s="35"/>
      <c r="J1310" s="35"/>
      <c r="K1310" s="35"/>
      <c r="L1310" s="35"/>
      <c r="M1310" s="35"/>
    </row>
    <row r="1311" spans="2:13" x14ac:dyDescent="0.35">
      <c r="B1311" s="32"/>
      <c r="C1311" s="35"/>
      <c r="D1311" s="35"/>
      <c r="E1311" s="35"/>
      <c r="F1311" s="35"/>
      <c r="G1311" s="35"/>
      <c r="H1311" s="35"/>
      <c r="I1311" s="35"/>
      <c r="J1311" s="35"/>
      <c r="K1311" s="35"/>
      <c r="L1311" s="35"/>
      <c r="M1311" s="35"/>
    </row>
    <row r="1312" spans="2:13" x14ac:dyDescent="0.35">
      <c r="B1312" s="32"/>
      <c r="C1312" s="35"/>
      <c r="D1312" s="35"/>
      <c r="E1312" s="35"/>
      <c r="F1312" s="35"/>
      <c r="G1312" s="35"/>
      <c r="H1312" s="35"/>
      <c r="I1312" s="35"/>
      <c r="J1312" s="35"/>
      <c r="K1312" s="35"/>
      <c r="L1312" s="35"/>
      <c r="M1312" s="35"/>
    </row>
    <row r="1313" spans="2:13" x14ac:dyDescent="0.35">
      <c r="B1313" s="32"/>
      <c r="C1313" s="35"/>
      <c r="D1313" s="35"/>
      <c r="E1313" s="35"/>
      <c r="F1313" s="35"/>
      <c r="G1313" s="35"/>
      <c r="H1313" s="35"/>
      <c r="I1313" s="35"/>
      <c r="J1313" s="35"/>
      <c r="K1313" s="35"/>
      <c r="L1313" s="35"/>
      <c r="M1313" s="35"/>
    </row>
    <row r="1314" spans="2:13" x14ac:dyDescent="0.35">
      <c r="B1314" s="32"/>
      <c r="C1314" s="35"/>
      <c r="D1314" s="35"/>
      <c r="E1314" s="35"/>
      <c r="F1314" s="35"/>
      <c r="G1314" s="35"/>
      <c r="H1314" s="35"/>
      <c r="I1314" s="35"/>
      <c r="J1314" s="35"/>
      <c r="K1314" s="35"/>
      <c r="L1314" s="35"/>
      <c r="M1314" s="35"/>
    </row>
    <row r="1315" spans="2:13" x14ac:dyDescent="0.35">
      <c r="B1315" s="32"/>
      <c r="C1315" s="35"/>
      <c r="D1315" s="35"/>
      <c r="E1315" s="35"/>
      <c r="F1315" s="35"/>
      <c r="G1315" s="35"/>
      <c r="H1315" s="35"/>
      <c r="I1315" s="35"/>
      <c r="J1315" s="35"/>
      <c r="K1315" s="35"/>
      <c r="L1315" s="35"/>
      <c r="M1315" s="35"/>
    </row>
    <row r="1316" spans="2:13" x14ac:dyDescent="0.35">
      <c r="B1316" s="32"/>
      <c r="C1316" s="35"/>
      <c r="D1316" s="35"/>
      <c r="E1316" s="35"/>
      <c r="F1316" s="35"/>
      <c r="G1316" s="35"/>
      <c r="H1316" s="35"/>
      <c r="I1316" s="35"/>
      <c r="J1316" s="35"/>
      <c r="K1316" s="35"/>
      <c r="L1316" s="35"/>
      <c r="M1316" s="35"/>
    </row>
    <row r="1317" spans="2:13" x14ac:dyDescent="0.35">
      <c r="B1317" s="32"/>
      <c r="C1317" s="35"/>
      <c r="D1317" s="35"/>
      <c r="E1317" s="35"/>
      <c r="F1317" s="35"/>
      <c r="G1317" s="35"/>
      <c r="H1317" s="35"/>
      <c r="I1317" s="35"/>
      <c r="J1317" s="35"/>
      <c r="K1317" s="35"/>
      <c r="L1317" s="35"/>
      <c r="M1317" s="35"/>
    </row>
    <row r="1318" spans="2:13" x14ac:dyDescent="0.35">
      <c r="B1318" s="32"/>
      <c r="C1318" s="35"/>
      <c r="D1318" s="35"/>
      <c r="E1318" s="35"/>
      <c r="F1318" s="35"/>
      <c r="G1318" s="35"/>
      <c r="H1318" s="35"/>
      <c r="I1318" s="35"/>
      <c r="J1318" s="35"/>
      <c r="K1318" s="35"/>
      <c r="L1318" s="35"/>
      <c r="M1318" s="35"/>
    </row>
    <row r="1319" spans="2:13" x14ac:dyDescent="0.35">
      <c r="B1319" s="32"/>
      <c r="C1319" s="35"/>
      <c r="D1319" s="35"/>
      <c r="E1319" s="35"/>
      <c r="F1319" s="35"/>
      <c r="G1319" s="35"/>
      <c r="H1319" s="35"/>
      <c r="I1319" s="35"/>
      <c r="J1319" s="35"/>
      <c r="K1319" s="35"/>
      <c r="L1319" s="35"/>
      <c r="M1319" s="35"/>
    </row>
    <row r="1320" spans="2:13" x14ac:dyDescent="0.35">
      <c r="B1320" s="32"/>
      <c r="C1320" s="35"/>
      <c r="D1320" s="35"/>
      <c r="E1320" s="35"/>
      <c r="F1320" s="35"/>
      <c r="G1320" s="35"/>
      <c r="H1320" s="35"/>
      <c r="I1320" s="35"/>
      <c r="J1320" s="35"/>
      <c r="K1320" s="35"/>
      <c r="L1320" s="35"/>
      <c r="M1320" s="35"/>
    </row>
    <row r="1321" spans="2:13" x14ac:dyDescent="0.35">
      <c r="B1321" s="32"/>
      <c r="C1321" s="35"/>
      <c r="D1321" s="35"/>
      <c r="E1321" s="35"/>
      <c r="F1321" s="35"/>
      <c r="G1321" s="35"/>
      <c r="H1321" s="35"/>
      <c r="I1321" s="35"/>
      <c r="J1321" s="35"/>
      <c r="K1321" s="35"/>
      <c r="L1321" s="35"/>
      <c r="M1321" s="35"/>
    </row>
    <row r="1322" spans="2:13" x14ac:dyDescent="0.35">
      <c r="B1322" s="32"/>
      <c r="C1322" s="35"/>
      <c r="D1322" s="35"/>
      <c r="E1322" s="35"/>
      <c r="F1322" s="35"/>
      <c r="G1322" s="35"/>
      <c r="H1322" s="35"/>
      <c r="I1322" s="35"/>
      <c r="J1322" s="35"/>
      <c r="K1322" s="35"/>
      <c r="L1322" s="35"/>
      <c r="M1322" s="35"/>
    </row>
    <row r="1323" spans="2:13" x14ac:dyDescent="0.35">
      <c r="B1323" s="32"/>
      <c r="C1323" s="35"/>
      <c r="D1323" s="35"/>
      <c r="E1323" s="35"/>
      <c r="F1323" s="35"/>
      <c r="G1323" s="35"/>
      <c r="H1323" s="35"/>
      <c r="I1323" s="35"/>
      <c r="J1323" s="35"/>
      <c r="K1323" s="35"/>
      <c r="L1323" s="35"/>
      <c r="M1323" s="35"/>
    </row>
    <row r="1324" spans="2:13" x14ac:dyDescent="0.35">
      <c r="B1324" s="32"/>
      <c r="C1324" s="35"/>
      <c r="D1324" s="35"/>
      <c r="E1324" s="35"/>
      <c r="F1324" s="35"/>
      <c r="G1324" s="35"/>
      <c r="H1324" s="35"/>
      <c r="I1324" s="35"/>
      <c r="J1324" s="35"/>
      <c r="K1324" s="35"/>
      <c r="L1324" s="35"/>
      <c r="M1324" s="35"/>
    </row>
    <row r="1325" spans="2:13" x14ac:dyDescent="0.35">
      <c r="B1325" s="32"/>
      <c r="C1325" s="35"/>
      <c r="D1325" s="35"/>
      <c r="E1325" s="35"/>
      <c r="F1325" s="35"/>
      <c r="G1325" s="35"/>
      <c r="H1325" s="35"/>
      <c r="I1325" s="35"/>
      <c r="J1325" s="35"/>
      <c r="K1325" s="35"/>
      <c r="L1325" s="35"/>
      <c r="M1325" s="35"/>
    </row>
    <row r="1326" spans="2:13" x14ac:dyDescent="0.35">
      <c r="B1326" s="32"/>
      <c r="C1326" s="35"/>
      <c r="D1326" s="35"/>
      <c r="E1326" s="35"/>
      <c r="F1326" s="35"/>
      <c r="G1326" s="35"/>
      <c r="H1326" s="35"/>
      <c r="I1326" s="35"/>
      <c r="J1326" s="35"/>
      <c r="K1326" s="35"/>
      <c r="L1326" s="35"/>
      <c r="M1326" s="35"/>
    </row>
    <row r="1327" spans="2:13" x14ac:dyDescent="0.35">
      <c r="B1327" s="32"/>
      <c r="C1327" s="35"/>
      <c r="D1327" s="35"/>
      <c r="E1327" s="35"/>
      <c r="F1327" s="35"/>
      <c r="G1327" s="35"/>
      <c r="H1327" s="35"/>
      <c r="I1327" s="35"/>
      <c r="J1327" s="35"/>
      <c r="K1327" s="35"/>
      <c r="L1327" s="35"/>
      <c r="M1327" s="35"/>
    </row>
    <row r="1328" spans="2:13" x14ac:dyDescent="0.35">
      <c r="B1328" s="32"/>
      <c r="C1328" s="35"/>
      <c r="D1328" s="35"/>
      <c r="E1328" s="35"/>
      <c r="F1328" s="35"/>
      <c r="G1328" s="35"/>
      <c r="H1328" s="35"/>
      <c r="I1328" s="35"/>
      <c r="J1328" s="35"/>
      <c r="K1328" s="35"/>
      <c r="L1328" s="35"/>
      <c r="M1328" s="35"/>
    </row>
    <row r="1329" spans="2:13" x14ac:dyDescent="0.35">
      <c r="B1329" s="32"/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</row>
    <row r="1330" spans="2:13" x14ac:dyDescent="0.35">
      <c r="B1330" s="32"/>
      <c r="C1330" s="35"/>
      <c r="D1330" s="35"/>
      <c r="E1330" s="35"/>
      <c r="F1330" s="35"/>
      <c r="G1330" s="35"/>
      <c r="H1330" s="35"/>
      <c r="I1330" s="35"/>
      <c r="J1330" s="35"/>
      <c r="K1330" s="35"/>
      <c r="L1330" s="35"/>
      <c r="M1330" s="35"/>
    </row>
    <row r="1331" spans="2:13" x14ac:dyDescent="0.35">
      <c r="B1331" s="32"/>
      <c r="C1331" s="35"/>
      <c r="D1331" s="35"/>
      <c r="E1331" s="35"/>
      <c r="F1331" s="35"/>
      <c r="G1331" s="35"/>
      <c r="H1331" s="35"/>
      <c r="I1331" s="35"/>
      <c r="J1331" s="35"/>
      <c r="K1331" s="35"/>
      <c r="L1331" s="35"/>
      <c r="M1331" s="35"/>
    </row>
    <row r="1332" spans="2:13" x14ac:dyDescent="0.35">
      <c r="B1332" s="32"/>
      <c r="C1332" s="35"/>
      <c r="D1332" s="35"/>
      <c r="E1332" s="35"/>
      <c r="F1332" s="35"/>
      <c r="G1332" s="35"/>
      <c r="H1332" s="35"/>
      <c r="I1332" s="35"/>
      <c r="J1332" s="35"/>
      <c r="K1332" s="35"/>
      <c r="L1332" s="35"/>
      <c r="M1332" s="35"/>
    </row>
    <row r="1333" spans="2:13" x14ac:dyDescent="0.35">
      <c r="B1333" s="32"/>
      <c r="C1333" s="35"/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</row>
    <row r="1334" spans="2:13" x14ac:dyDescent="0.35">
      <c r="B1334" s="32"/>
      <c r="C1334" s="35"/>
      <c r="D1334" s="35"/>
      <c r="E1334" s="35"/>
      <c r="F1334" s="35"/>
      <c r="G1334" s="35"/>
      <c r="H1334" s="35"/>
      <c r="I1334" s="35"/>
      <c r="J1334" s="35"/>
      <c r="K1334" s="35"/>
      <c r="L1334" s="35"/>
      <c r="M1334" s="35"/>
    </row>
    <row r="1335" spans="2:13" x14ac:dyDescent="0.35">
      <c r="B1335" s="32"/>
      <c r="C1335" s="35"/>
      <c r="D1335" s="35"/>
      <c r="E1335" s="35"/>
      <c r="F1335" s="35"/>
      <c r="G1335" s="35"/>
      <c r="H1335" s="35"/>
      <c r="I1335" s="35"/>
      <c r="J1335" s="35"/>
      <c r="K1335" s="35"/>
      <c r="L1335" s="35"/>
      <c r="M1335" s="35"/>
    </row>
    <row r="1336" spans="2:13" x14ac:dyDescent="0.35">
      <c r="B1336" s="32"/>
      <c r="C1336" s="35"/>
      <c r="D1336" s="35"/>
      <c r="E1336" s="35"/>
      <c r="F1336" s="35"/>
      <c r="G1336" s="35"/>
      <c r="H1336" s="35"/>
      <c r="I1336" s="35"/>
      <c r="J1336" s="35"/>
      <c r="K1336" s="35"/>
      <c r="L1336" s="35"/>
      <c r="M1336" s="35"/>
    </row>
    <row r="1337" spans="2:13" x14ac:dyDescent="0.35">
      <c r="B1337" s="32"/>
      <c r="C1337" s="35"/>
      <c r="D1337" s="35"/>
      <c r="E1337" s="35"/>
      <c r="F1337" s="35"/>
      <c r="G1337" s="35"/>
      <c r="H1337" s="35"/>
      <c r="I1337" s="35"/>
      <c r="J1337" s="35"/>
      <c r="K1337" s="35"/>
      <c r="L1337" s="35"/>
      <c r="M1337" s="35"/>
    </row>
    <row r="1338" spans="2:13" x14ac:dyDescent="0.35">
      <c r="B1338" s="32"/>
      <c r="C1338" s="35"/>
      <c r="D1338" s="35"/>
      <c r="E1338" s="35"/>
      <c r="F1338" s="35"/>
      <c r="G1338" s="35"/>
      <c r="H1338" s="35"/>
      <c r="I1338" s="35"/>
      <c r="J1338" s="35"/>
      <c r="K1338" s="35"/>
      <c r="L1338" s="35"/>
      <c r="M1338" s="35"/>
    </row>
    <row r="1339" spans="2:13" x14ac:dyDescent="0.35">
      <c r="B1339" s="32"/>
      <c r="C1339" s="35"/>
      <c r="D1339" s="35"/>
      <c r="E1339" s="35"/>
      <c r="F1339" s="35"/>
      <c r="G1339" s="35"/>
      <c r="H1339" s="35"/>
      <c r="I1339" s="35"/>
      <c r="J1339" s="35"/>
      <c r="K1339" s="35"/>
      <c r="L1339" s="35"/>
      <c r="M1339" s="35"/>
    </row>
    <row r="1340" spans="2:13" x14ac:dyDescent="0.35">
      <c r="B1340" s="32"/>
      <c r="C1340" s="35"/>
      <c r="D1340" s="35"/>
      <c r="E1340" s="35"/>
      <c r="F1340" s="35"/>
      <c r="G1340" s="35"/>
      <c r="H1340" s="35"/>
      <c r="I1340" s="35"/>
      <c r="J1340" s="35"/>
      <c r="K1340" s="35"/>
      <c r="L1340" s="35"/>
      <c r="M1340" s="35"/>
    </row>
    <row r="1341" spans="2:13" x14ac:dyDescent="0.35">
      <c r="B1341" s="32"/>
      <c r="C1341" s="35"/>
      <c r="D1341" s="35"/>
      <c r="E1341" s="35"/>
      <c r="F1341" s="35"/>
      <c r="G1341" s="35"/>
      <c r="H1341" s="35"/>
      <c r="I1341" s="35"/>
      <c r="J1341" s="35"/>
      <c r="K1341" s="35"/>
      <c r="L1341" s="35"/>
      <c r="M1341" s="35"/>
    </row>
    <row r="1342" spans="2:13" x14ac:dyDescent="0.35">
      <c r="B1342" s="32"/>
      <c r="C1342" s="35"/>
      <c r="D1342" s="35"/>
      <c r="E1342" s="35"/>
      <c r="F1342" s="35"/>
      <c r="G1342" s="35"/>
      <c r="H1342" s="35"/>
      <c r="I1342" s="35"/>
      <c r="J1342" s="35"/>
      <c r="K1342" s="35"/>
      <c r="L1342" s="35"/>
      <c r="M1342" s="35"/>
    </row>
    <row r="1343" spans="2:13" x14ac:dyDescent="0.35">
      <c r="B1343" s="32"/>
      <c r="C1343" s="35"/>
      <c r="D1343" s="35"/>
      <c r="E1343" s="35"/>
      <c r="F1343" s="35"/>
      <c r="G1343" s="35"/>
      <c r="H1343" s="35"/>
      <c r="I1343" s="35"/>
      <c r="J1343" s="35"/>
      <c r="K1343" s="35"/>
      <c r="L1343" s="35"/>
      <c r="M1343" s="35"/>
    </row>
    <row r="1344" spans="2:13" x14ac:dyDescent="0.35">
      <c r="B1344" s="32"/>
      <c r="C1344" s="35"/>
      <c r="D1344" s="35"/>
      <c r="E1344" s="35"/>
      <c r="F1344" s="35"/>
      <c r="G1344" s="35"/>
      <c r="H1344" s="35"/>
      <c r="I1344" s="35"/>
      <c r="J1344" s="35"/>
      <c r="K1344" s="35"/>
      <c r="L1344" s="35"/>
      <c r="M1344" s="35"/>
    </row>
    <row r="1345" spans="2:13" x14ac:dyDescent="0.35">
      <c r="B1345" s="32"/>
      <c r="C1345" s="35"/>
      <c r="D1345" s="35"/>
      <c r="E1345" s="35"/>
      <c r="F1345" s="35"/>
      <c r="G1345" s="35"/>
      <c r="H1345" s="35"/>
      <c r="I1345" s="35"/>
      <c r="J1345" s="35"/>
      <c r="K1345" s="35"/>
      <c r="L1345" s="35"/>
      <c r="M1345" s="35"/>
    </row>
    <row r="1346" spans="2:13" x14ac:dyDescent="0.35">
      <c r="B1346" s="32"/>
      <c r="C1346" s="35"/>
      <c r="D1346" s="35"/>
      <c r="E1346" s="35"/>
      <c r="F1346" s="35"/>
      <c r="G1346" s="35"/>
      <c r="H1346" s="35"/>
      <c r="I1346" s="35"/>
      <c r="J1346" s="35"/>
      <c r="K1346" s="35"/>
      <c r="L1346" s="35"/>
      <c r="M1346" s="35"/>
    </row>
    <row r="1347" spans="2:13" x14ac:dyDescent="0.35">
      <c r="B1347" s="32"/>
      <c r="C1347" s="35"/>
      <c r="D1347" s="35"/>
      <c r="E1347" s="35"/>
      <c r="F1347" s="35"/>
      <c r="G1347" s="35"/>
      <c r="H1347" s="35"/>
      <c r="I1347" s="35"/>
      <c r="J1347" s="35"/>
      <c r="K1347" s="35"/>
      <c r="L1347" s="35"/>
      <c r="M1347" s="35"/>
    </row>
    <row r="1348" spans="2:13" x14ac:dyDescent="0.35">
      <c r="B1348" s="32"/>
      <c r="C1348" s="35"/>
      <c r="D1348" s="35"/>
      <c r="E1348" s="35"/>
      <c r="F1348" s="35"/>
      <c r="G1348" s="35"/>
      <c r="H1348" s="35"/>
      <c r="I1348" s="35"/>
      <c r="J1348" s="35"/>
      <c r="K1348" s="35"/>
      <c r="L1348" s="35"/>
      <c r="M1348" s="35"/>
    </row>
    <row r="1349" spans="2:13" x14ac:dyDescent="0.35">
      <c r="B1349" s="32"/>
      <c r="C1349" s="35"/>
      <c r="D1349" s="35"/>
      <c r="E1349" s="35"/>
      <c r="F1349" s="35"/>
      <c r="G1349" s="35"/>
      <c r="H1349" s="35"/>
      <c r="I1349" s="35"/>
      <c r="J1349" s="35"/>
      <c r="K1349" s="35"/>
      <c r="L1349" s="35"/>
      <c r="M1349" s="35"/>
    </row>
    <row r="1350" spans="2:13" x14ac:dyDescent="0.35">
      <c r="B1350" s="32"/>
      <c r="C1350" s="35"/>
      <c r="D1350" s="35"/>
      <c r="E1350" s="35"/>
      <c r="F1350" s="35"/>
      <c r="G1350" s="35"/>
      <c r="H1350" s="35"/>
      <c r="I1350" s="35"/>
      <c r="J1350" s="35"/>
      <c r="K1350" s="35"/>
      <c r="L1350" s="35"/>
      <c r="M1350" s="35"/>
    </row>
    <row r="1351" spans="2:13" x14ac:dyDescent="0.35">
      <c r="B1351" s="32"/>
      <c r="C1351" s="35"/>
      <c r="D1351" s="35"/>
      <c r="E1351" s="35"/>
      <c r="F1351" s="35"/>
      <c r="G1351" s="35"/>
      <c r="H1351" s="35"/>
      <c r="I1351" s="35"/>
      <c r="J1351" s="35"/>
      <c r="K1351" s="35"/>
      <c r="L1351" s="35"/>
      <c r="M1351" s="35"/>
    </row>
    <row r="1352" spans="2:13" x14ac:dyDescent="0.35">
      <c r="B1352" s="32"/>
      <c r="C1352" s="35"/>
      <c r="D1352" s="35"/>
      <c r="E1352" s="35"/>
      <c r="F1352" s="35"/>
      <c r="G1352" s="35"/>
      <c r="H1352" s="35"/>
      <c r="I1352" s="35"/>
      <c r="J1352" s="35"/>
      <c r="K1352" s="35"/>
      <c r="L1352" s="35"/>
      <c r="M1352" s="35"/>
    </row>
    <row r="1353" spans="2:13" x14ac:dyDescent="0.35">
      <c r="B1353" s="32"/>
      <c r="C1353" s="35"/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</row>
    <row r="1354" spans="2:13" x14ac:dyDescent="0.35">
      <c r="B1354" s="32"/>
      <c r="C1354" s="35"/>
      <c r="D1354" s="35"/>
      <c r="E1354" s="35"/>
      <c r="F1354" s="35"/>
      <c r="G1354" s="35"/>
      <c r="H1354" s="35"/>
      <c r="I1354" s="35"/>
      <c r="J1354" s="35"/>
      <c r="K1354" s="35"/>
      <c r="L1354" s="35"/>
      <c r="M1354" s="35"/>
    </row>
    <row r="1355" spans="2:13" x14ac:dyDescent="0.35">
      <c r="B1355" s="32"/>
      <c r="C1355" s="35"/>
      <c r="D1355" s="35"/>
      <c r="E1355" s="35"/>
      <c r="F1355" s="35"/>
      <c r="G1355" s="35"/>
      <c r="H1355" s="35"/>
      <c r="I1355" s="35"/>
      <c r="J1355" s="35"/>
      <c r="K1355" s="35"/>
      <c r="L1355" s="35"/>
      <c r="M1355" s="35"/>
    </row>
    <row r="1356" spans="2:13" x14ac:dyDescent="0.35">
      <c r="B1356" s="32"/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35"/>
    </row>
    <row r="1357" spans="2:13" x14ac:dyDescent="0.35">
      <c r="B1357" s="32"/>
      <c r="C1357" s="35"/>
      <c r="D1357" s="35"/>
      <c r="E1357" s="35"/>
      <c r="F1357" s="35"/>
      <c r="G1357" s="35"/>
      <c r="H1357" s="35"/>
      <c r="I1357" s="35"/>
      <c r="J1357" s="35"/>
      <c r="K1357" s="35"/>
      <c r="L1357" s="35"/>
      <c r="M1357" s="35"/>
    </row>
    <row r="1358" spans="2:13" x14ac:dyDescent="0.35">
      <c r="B1358" s="32"/>
      <c r="C1358" s="35"/>
      <c r="D1358" s="35"/>
      <c r="E1358" s="35"/>
      <c r="F1358" s="35"/>
      <c r="G1358" s="35"/>
      <c r="H1358" s="35"/>
      <c r="I1358" s="35"/>
      <c r="J1358" s="35"/>
      <c r="K1358" s="35"/>
      <c r="L1358" s="35"/>
      <c r="M1358" s="35"/>
    </row>
    <row r="1359" spans="2:13" x14ac:dyDescent="0.35">
      <c r="B1359" s="32"/>
      <c r="C1359" s="35"/>
      <c r="D1359" s="35"/>
      <c r="E1359" s="35"/>
      <c r="F1359" s="35"/>
      <c r="G1359" s="35"/>
      <c r="H1359" s="35"/>
      <c r="I1359" s="35"/>
      <c r="J1359" s="35"/>
      <c r="K1359" s="35"/>
      <c r="L1359" s="35"/>
      <c r="M1359" s="35"/>
    </row>
    <row r="1360" spans="2:13" x14ac:dyDescent="0.35">
      <c r="B1360" s="32"/>
      <c r="C1360" s="35"/>
      <c r="D1360" s="35"/>
      <c r="E1360" s="35"/>
      <c r="F1360" s="35"/>
      <c r="G1360" s="35"/>
      <c r="H1360" s="35"/>
      <c r="I1360" s="35"/>
      <c r="J1360" s="35"/>
      <c r="K1360" s="35"/>
      <c r="L1360" s="35"/>
      <c r="M1360" s="35"/>
    </row>
    <row r="1361" spans="2:13" x14ac:dyDescent="0.35">
      <c r="B1361" s="32"/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35"/>
    </row>
    <row r="1362" spans="2:13" x14ac:dyDescent="0.35">
      <c r="B1362" s="32"/>
      <c r="C1362" s="35"/>
      <c r="D1362" s="35"/>
      <c r="E1362" s="35"/>
      <c r="F1362" s="35"/>
      <c r="G1362" s="35"/>
      <c r="H1362" s="35"/>
      <c r="I1362" s="35"/>
      <c r="J1362" s="35"/>
      <c r="K1362" s="35"/>
      <c r="L1362" s="35"/>
      <c r="M1362" s="35"/>
    </row>
    <row r="1363" spans="2:13" x14ac:dyDescent="0.35">
      <c r="B1363" s="32"/>
      <c r="C1363" s="35"/>
      <c r="D1363" s="35"/>
      <c r="E1363" s="35"/>
      <c r="F1363" s="35"/>
      <c r="G1363" s="35"/>
      <c r="H1363" s="35"/>
      <c r="I1363" s="35"/>
      <c r="J1363" s="35"/>
      <c r="K1363" s="35"/>
      <c r="L1363" s="35"/>
      <c r="M1363" s="35"/>
    </row>
    <row r="1364" spans="2:13" x14ac:dyDescent="0.35">
      <c r="B1364" s="32"/>
      <c r="C1364" s="35"/>
      <c r="D1364" s="35"/>
      <c r="E1364" s="35"/>
      <c r="F1364" s="35"/>
      <c r="G1364" s="35"/>
      <c r="H1364" s="35"/>
      <c r="I1364" s="35"/>
      <c r="J1364" s="35"/>
      <c r="K1364" s="35"/>
      <c r="L1364" s="35"/>
      <c r="M1364" s="35"/>
    </row>
    <row r="1365" spans="2:13" x14ac:dyDescent="0.35">
      <c r="B1365" s="32"/>
      <c r="C1365" s="35"/>
      <c r="D1365" s="35"/>
      <c r="E1365" s="35"/>
      <c r="F1365" s="35"/>
      <c r="G1365" s="35"/>
      <c r="H1365" s="35"/>
      <c r="I1365" s="35"/>
      <c r="J1365" s="35"/>
      <c r="K1365" s="35"/>
      <c r="L1365" s="35"/>
      <c r="M1365" s="35"/>
    </row>
    <row r="1366" spans="2:13" x14ac:dyDescent="0.35">
      <c r="B1366" s="32"/>
      <c r="C1366" s="35"/>
      <c r="D1366" s="35"/>
      <c r="E1366" s="35"/>
      <c r="F1366" s="35"/>
      <c r="G1366" s="35"/>
      <c r="H1366" s="35"/>
      <c r="I1366" s="35"/>
      <c r="J1366" s="35"/>
      <c r="K1366" s="35"/>
      <c r="L1366" s="35"/>
      <c r="M1366" s="35"/>
    </row>
    <row r="1367" spans="2:13" x14ac:dyDescent="0.35">
      <c r="B1367" s="32"/>
      <c r="C1367" s="35"/>
      <c r="D1367" s="35"/>
      <c r="E1367" s="35"/>
      <c r="F1367" s="35"/>
      <c r="G1367" s="35"/>
      <c r="H1367" s="35"/>
      <c r="I1367" s="35"/>
      <c r="J1367" s="35"/>
      <c r="K1367" s="35"/>
      <c r="L1367" s="35"/>
      <c r="M1367" s="35"/>
    </row>
    <row r="1368" spans="2:13" x14ac:dyDescent="0.35">
      <c r="B1368" s="32"/>
      <c r="C1368" s="35"/>
      <c r="D1368" s="35"/>
      <c r="E1368" s="35"/>
      <c r="F1368" s="35"/>
      <c r="G1368" s="35"/>
      <c r="H1368" s="35"/>
      <c r="I1368" s="35"/>
      <c r="J1368" s="35"/>
      <c r="K1368" s="35"/>
      <c r="L1368" s="35"/>
      <c r="M1368" s="35"/>
    </row>
    <row r="1369" spans="2:13" x14ac:dyDescent="0.35">
      <c r="B1369" s="32"/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35"/>
    </row>
    <row r="1370" spans="2:13" x14ac:dyDescent="0.35">
      <c r="B1370" s="32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  <c r="M1370" s="35"/>
    </row>
    <row r="1371" spans="2:13" x14ac:dyDescent="0.35">
      <c r="B1371" s="32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  <c r="M1371" s="35"/>
    </row>
    <row r="1372" spans="2:13" x14ac:dyDescent="0.35">
      <c r="B1372" s="32"/>
      <c r="C1372" s="35"/>
      <c r="D1372" s="35"/>
      <c r="E1372" s="35"/>
      <c r="F1372" s="35"/>
      <c r="G1372" s="35"/>
      <c r="H1372" s="35"/>
      <c r="I1372" s="35"/>
      <c r="J1372" s="35"/>
      <c r="K1372" s="35"/>
      <c r="L1372" s="35"/>
      <c r="M1372" s="35"/>
    </row>
    <row r="1373" spans="2:13" x14ac:dyDescent="0.35">
      <c r="B1373" s="32"/>
      <c r="C1373" s="35"/>
      <c r="D1373" s="35"/>
      <c r="E1373" s="35"/>
      <c r="F1373" s="35"/>
      <c r="G1373" s="35"/>
      <c r="H1373" s="35"/>
      <c r="I1373" s="35"/>
      <c r="J1373" s="35"/>
      <c r="K1373" s="35"/>
      <c r="L1373" s="35"/>
      <c r="M1373" s="35"/>
    </row>
    <row r="1374" spans="2:13" x14ac:dyDescent="0.35">
      <c r="B1374" s="32"/>
      <c r="C1374" s="35"/>
      <c r="D1374" s="35"/>
      <c r="E1374" s="35"/>
      <c r="F1374" s="35"/>
      <c r="G1374" s="35"/>
      <c r="H1374" s="35"/>
      <c r="I1374" s="35"/>
      <c r="J1374" s="35"/>
      <c r="K1374" s="35"/>
      <c r="L1374" s="35"/>
      <c r="M1374" s="35"/>
    </row>
    <row r="1375" spans="2:13" x14ac:dyDescent="0.35">
      <c r="B1375" s="32"/>
      <c r="C1375" s="35"/>
      <c r="D1375" s="35"/>
      <c r="E1375" s="35"/>
      <c r="F1375" s="35"/>
      <c r="G1375" s="35"/>
      <c r="H1375" s="35"/>
      <c r="I1375" s="35"/>
      <c r="J1375" s="35"/>
      <c r="K1375" s="35"/>
      <c r="L1375" s="35"/>
      <c r="M1375" s="35"/>
    </row>
    <row r="1376" spans="2:13" x14ac:dyDescent="0.35">
      <c r="B1376" s="32"/>
      <c r="C1376" s="35"/>
      <c r="D1376" s="35"/>
      <c r="E1376" s="35"/>
      <c r="F1376" s="35"/>
      <c r="G1376" s="35"/>
      <c r="H1376" s="35"/>
      <c r="I1376" s="35"/>
      <c r="J1376" s="35"/>
      <c r="K1376" s="35"/>
      <c r="L1376" s="35"/>
      <c r="M1376" s="35"/>
    </row>
    <row r="1377" spans="2:13" x14ac:dyDescent="0.35">
      <c r="B1377" s="32"/>
      <c r="C1377" s="35"/>
      <c r="D1377" s="35"/>
      <c r="E1377" s="35"/>
      <c r="F1377" s="35"/>
      <c r="G1377" s="35"/>
      <c r="H1377" s="35"/>
      <c r="I1377" s="35"/>
      <c r="J1377" s="35"/>
      <c r="K1377" s="35"/>
      <c r="L1377" s="35"/>
      <c r="M1377" s="35"/>
    </row>
    <row r="1378" spans="2:13" x14ac:dyDescent="0.35">
      <c r="B1378" s="32"/>
      <c r="C1378" s="35"/>
      <c r="D1378" s="35"/>
      <c r="E1378" s="35"/>
      <c r="F1378" s="35"/>
      <c r="G1378" s="35"/>
      <c r="H1378" s="35"/>
      <c r="I1378" s="35"/>
      <c r="J1378" s="35"/>
      <c r="K1378" s="35"/>
      <c r="L1378" s="35"/>
      <c r="M1378" s="35"/>
    </row>
    <row r="1379" spans="2:13" x14ac:dyDescent="0.35">
      <c r="B1379" s="32"/>
      <c r="C1379" s="35"/>
      <c r="D1379" s="35"/>
      <c r="E1379" s="35"/>
      <c r="F1379" s="35"/>
      <c r="G1379" s="35"/>
      <c r="H1379" s="35"/>
      <c r="I1379" s="35"/>
      <c r="J1379" s="35"/>
      <c r="K1379" s="35"/>
      <c r="L1379" s="35"/>
      <c r="M1379" s="35"/>
    </row>
    <row r="1380" spans="2:13" x14ac:dyDescent="0.35">
      <c r="B1380" s="32"/>
      <c r="C1380" s="35"/>
      <c r="D1380" s="35"/>
      <c r="E1380" s="35"/>
      <c r="F1380" s="35"/>
      <c r="G1380" s="35"/>
      <c r="H1380" s="35"/>
      <c r="I1380" s="35"/>
      <c r="J1380" s="35"/>
      <c r="K1380" s="35"/>
      <c r="L1380" s="35"/>
      <c r="M1380" s="35"/>
    </row>
    <row r="1381" spans="2:13" x14ac:dyDescent="0.35">
      <c r="B1381" s="32"/>
      <c r="C1381" s="35"/>
      <c r="D1381" s="35"/>
      <c r="E1381" s="35"/>
      <c r="F1381" s="35"/>
      <c r="G1381" s="35"/>
      <c r="H1381" s="35"/>
      <c r="I1381" s="35"/>
      <c r="J1381" s="35"/>
      <c r="K1381" s="35"/>
      <c r="L1381" s="35"/>
      <c r="M1381" s="35"/>
    </row>
    <row r="1382" spans="2:13" x14ac:dyDescent="0.35">
      <c r="B1382" s="32"/>
      <c r="C1382" s="35"/>
      <c r="D1382" s="35"/>
      <c r="E1382" s="35"/>
      <c r="F1382" s="35"/>
      <c r="G1382" s="35"/>
      <c r="H1382" s="35"/>
      <c r="I1382" s="35"/>
      <c r="J1382" s="35"/>
      <c r="K1382" s="35"/>
      <c r="L1382" s="35"/>
      <c r="M1382" s="35"/>
    </row>
    <row r="1383" spans="2:13" x14ac:dyDescent="0.35">
      <c r="B1383" s="32"/>
      <c r="C1383" s="35"/>
      <c r="D1383" s="35"/>
      <c r="E1383" s="35"/>
      <c r="F1383" s="35"/>
      <c r="G1383" s="35"/>
      <c r="H1383" s="35"/>
      <c r="I1383" s="35"/>
      <c r="J1383" s="35"/>
      <c r="K1383" s="35"/>
      <c r="L1383" s="35"/>
      <c r="M1383" s="35"/>
    </row>
    <row r="1384" spans="2:13" x14ac:dyDescent="0.35">
      <c r="B1384" s="32"/>
      <c r="C1384" s="35"/>
      <c r="D1384" s="35"/>
      <c r="E1384" s="35"/>
      <c r="F1384" s="35"/>
      <c r="G1384" s="35"/>
      <c r="H1384" s="35"/>
      <c r="I1384" s="35"/>
      <c r="J1384" s="35"/>
      <c r="K1384" s="35"/>
      <c r="L1384" s="35"/>
      <c r="M1384" s="35"/>
    </row>
    <row r="1385" spans="2:13" x14ac:dyDescent="0.35">
      <c r="B1385" s="32"/>
      <c r="C1385" s="35"/>
      <c r="D1385" s="35"/>
      <c r="E1385" s="35"/>
      <c r="F1385" s="35"/>
      <c r="G1385" s="35"/>
      <c r="H1385" s="35"/>
      <c r="I1385" s="35"/>
      <c r="J1385" s="35"/>
      <c r="K1385" s="35"/>
      <c r="L1385" s="35"/>
      <c r="M1385" s="35"/>
    </row>
    <row r="1386" spans="2:13" x14ac:dyDescent="0.35">
      <c r="B1386" s="32"/>
      <c r="C1386" s="35"/>
      <c r="D1386" s="35"/>
      <c r="E1386" s="35"/>
      <c r="F1386" s="35"/>
      <c r="G1386" s="35"/>
      <c r="H1386" s="35"/>
      <c r="I1386" s="35"/>
      <c r="J1386" s="35"/>
      <c r="K1386" s="35"/>
      <c r="L1386" s="35"/>
      <c r="M1386" s="35"/>
    </row>
    <row r="1387" spans="2:13" x14ac:dyDescent="0.35">
      <c r="B1387" s="32"/>
      <c r="C1387" s="35"/>
      <c r="D1387" s="35"/>
      <c r="E1387" s="35"/>
      <c r="F1387" s="35"/>
      <c r="G1387" s="35"/>
      <c r="H1387" s="35"/>
      <c r="I1387" s="35"/>
      <c r="J1387" s="35"/>
      <c r="K1387" s="35"/>
      <c r="L1387" s="35"/>
      <c r="M1387" s="35"/>
    </row>
    <row r="1388" spans="2:13" x14ac:dyDescent="0.35">
      <c r="B1388" s="32"/>
      <c r="C1388" s="35"/>
      <c r="D1388" s="35"/>
      <c r="E1388" s="35"/>
      <c r="F1388" s="35"/>
      <c r="G1388" s="35"/>
      <c r="H1388" s="35"/>
      <c r="I1388" s="35"/>
      <c r="J1388" s="35"/>
      <c r="K1388" s="35"/>
      <c r="L1388" s="35"/>
      <c r="M1388" s="35"/>
    </row>
    <row r="1389" spans="2:13" x14ac:dyDescent="0.35">
      <c r="B1389" s="32"/>
      <c r="C1389" s="35"/>
      <c r="D1389" s="35"/>
      <c r="E1389" s="35"/>
      <c r="F1389" s="35"/>
      <c r="G1389" s="35"/>
      <c r="H1389" s="35"/>
      <c r="I1389" s="35"/>
      <c r="J1389" s="35"/>
      <c r="K1389" s="35"/>
      <c r="L1389" s="35"/>
      <c r="M1389" s="35"/>
    </row>
    <row r="1390" spans="2:13" x14ac:dyDescent="0.35">
      <c r="B1390" s="32"/>
      <c r="C1390" s="35"/>
      <c r="D1390" s="35"/>
      <c r="E1390" s="35"/>
      <c r="F1390" s="35"/>
      <c r="G1390" s="35"/>
      <c r="H1390" s="35"/>
      <c r="I1390" s="35"/>
      <c r="J1390" s="35"/>
      <c r="K1390" s="35"/>
      <c r="L1390" s="35"/>
      <c r="M1390" s="35"/>
    </row>
    <row r="1391" spans="2:13" x14ac:dyDescent="0.35">
      <c r="B1391" s="32"/>
      <c r="C1391" s="35"/>
      <c r="D1391" s="35"/>
      <c r="E1391" s="35"/>
      <c r="F1391" s="35"/>
      <c r="G1391" s="35"/>
      <c r="H1391" s="35"/>
      <c r="I1391" s="35"/>
      <c r="J1391" s="35"/>
      <c r="K1391" s="35"/>
      <c r="L1391" s="35"/>
      <c r="M1391" s="35"/>
    </row>
    <row r="1392" spans="2:13" x14ac:dyDescent="0.35">
      <c r="B1392" s="32"/>
      <c r="C1392" s="35"/>
      <c r="D1392" s="35"/>
      <c r="E1392" s="35"/>
      <c r="F1392" s="35"/>
      <c r="G1392" s="35"/>
      <c r="H1392" s="35"/>
      <c r="I1392" s="35"/>
      <c r="J1392" s="35"/>
      <c r="K1392" s="35"/>
      <c r="L1392" s="35"/>
      <c r="M1392" s="35"/>
    </row>
    <row r="1393" spans="2:13" x14ac:dyDescent="0.35">
      <c r="B1393" s="32"/>
      <c r="C1393" s="35"/>
      <c r="D1393" s="35"/>
      <c r="E1393" s="35"/>
      <c r="F1393" s="35"/>
      <c r="G1393" s="35"/>
      <c r="H1393" s="35"/>
      <c r="I1393" s="35"/>
      <c r="J1393" s="35"/>
      <c r="K1393" s="35"/>
      <c r="L1393" s="35"/>
      <c r="M1393" s="35"/>
    </row>
    <row r="1394" spans="2:13" x14ac:dyDescent="0.35">
      <c r="B1394" s="32"/>
      <c r="C1394" s="35"/>
      <c r="D1394" s="35"/>
      <c r="E1394" s="35"/>
      <c r="F1394" s="35"/>
      <c r="G1394" s="35"/>
      <c r="H1394" s="35"/>
      <c r="I1394" s="35"/>
      <c r="J1394" s="35"/>
      <c r="K1394" s="35"/>
      <c r="L1394" s="35"/>
      <c r="M1394" s="35"/>
    </row>
    <row r="1395" spans="2:13" x14ac:dyDescent="0.35">
      <c r="B1395" s="32"/>
      <c r="C1395" s="35"/>
      <c r="D1395" s="35"/>
      <c r="E1395" s="35"/>
      <c r="F1395" s="35"/>
      <c r="G1395" s="35"/>
      <c r="H1395" s="35"/>
      <c r="I1395" s="35"/>
      <c r="J1395" s="35"/>
      <c r="K1395" s="35"/>
      <c r="L1395" s="35"/>
      <c r="M1395" s="35"/>
    </row>
    <row r="1396" spans="2:13" x14ac:dyDescent="0.35">
      <c r="B1396" s="32"/>
      <c r="C1396" s="35"/>
      <c r="D1396" s="35"/>
      <c r="E1396" s="35"/>
      <c r="F1396" s="35"/>
      <c r="G1396" s="35"/>
      <c r="H1396" s="35"/>
      <c r="I1396" s="35"/>
      <c r="J1396" s="35"/>
      <c r="K1396" s="35"/>
      <c r="L1396" s="35"/>
      <c r="M1396" s="35"/>
    </row>
    <row r="1397" spans="2:13" x14ac:dyDescent="0.35">
      <c r="B1397" s="32"/>
      <c r="C1397" s="35"/>
      <c r="D1397" s="35"/>
      <c r="E1397" s="35"/>
      <c r="F1397" s="35"/>
      <c r="G1397" s="35"/>
      <c r="H1397" s="35"/>
      <c r="I1397" s="35"/>
      <c r="J1397" s="35"/>
      <c r="K1397" s="35"/>
      <c r="L1397" s="35"/>
      <c r="M1397" s="35"/>
    </row>
    <row r="1398" spans="2:13" x14ac:dyDescent="0.35">
      <c r="B1398" s="32"/>
      <c r="C1398" s="35"/>
      <c r="D1398" s="35"/>
      <c r="E1398" s="35"/>
      <c r="F1398" s="35"/>
      <c r="G1398" s="35"/>
      <c r="H1398" s="35"/>
      <c r="I1398" s="35"/>
      <c r="J1398" s="35"/>
      <c r="K1398" s="35"/>
      <c r="L1398" s="35"/>
      <c r="M1398" s="35"/>
    </row>
    <row r="1399" spans="2:13" x14ac:dyDescent="0.35">
      <c r="B1399" s="32"/>
      <c r="C1399" s="35"/>
      <c r="D1399" s="35"/>
      <c r="E1399" s="35"/>
      <c r="F1399" s="35"/>
      <c r="G1399" s="35"/>
      <c r="H1399" s="35"/>
      <c r="I1399" s="35"/>
      <c r="J1399" s="35"/>
      <c r="K1399" s="35"/>
      <c r="L1399" s="35"/>
      <c r="M1399" s="35"/>
    </row>
    <row r="1400" spans="2:13" x14ac:dyDescent="0.35">
      <c r="B1400" s="32"/>
      <c r="C1400" s="35"/>
      <c r="D1400" s="35"/>
      <c r="E1400" s="35"/>
      <c r="F1400" s="35"/>
      <c r="G1400" s="35"/>
      <c r="H1400" s="35"/>
      <c r="I1400" s="35"/>
      <c r="J1400" s="35"/>
      <c r="K1400" s="35"/>
      <c r="L1400" s="35"/>
      <c r="M1400" s="35"/>
    </row>
    <row r="1401" spans="2:13" x14ac:dyDescent="0.35">
      <c r="B1401" s="32"/>
      <c r="C1401" s="35"/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</row>
    <row r="1402" spans="2:13" x14ac:dyDescent="0.35">
      <c r="B1402" s="32"/>
      <c r="C1402" s="35"/>
      <c r="D1402" s="35"/>
      <c r="E1402" s="35"/>
      <c r="F1402" s="35"/>
      <c r="G1402" s="35"/>
      <c r="H1402" s="35"/>
      <c r="I1402" s="35"/>
      <c r="J1402" s="35"/>
      <c r="K1402" s="35"/>
      <c r="L1402" s="35"/>
      <c r="M1402" s="35"/>
    </row>
    <row r="1403" spans="2:13" x14ac:dyDescent="0.35">
      <c r="B1403" s="32"/>
      <c r="C1403" s="35"/>
      <c r="D1403" s="35"/>
      <c r="E1403" s="35"/>
      <c r="F1403" s="35"/>
      <c r="G1403" s="35"/>
      <c r="H1403" s="35"/>
      <c r="I1403" s="35"/>
      <c r="J1403" s="35"/>
      <c r="K1403" s="35"/>
      <c r="L1403" s="35"/>
      <c r="M1403" s="35"/>
    </row>
    <row r="1404" spans="2:13" x14ac:dyDescent="0.35">
      <c r="B1404" s="32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</row>
    <row r="1405" spans="2:13" x14ac:dyDescent="0.35">
      <c r="B1405" s="32"/>
      <c r="C1405" s="35"/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</row>
    <row r="1406" spans="2:13" x14ac:dyDescent="0.35">
      <c r="B1406" s="32"/>
      <c r="C1406" s="35"/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</row>
    <row r="1407" spans="2:13" x14ac:dyDescent="0.35">
      <c r="B1407" s="32"/>
      <c r="C1407" s="35"/>
      <c r="D1407" s="35"/>
      <c r="E1407" s="35"/>
      <c r="F1407" s="35"/>
      <c r="G1407" s="35"/>
      <c r="H1407" s="35"/>
      <c r="I1407" s="35"/>
      <c r="J1407" s="35"/>
      <c r="K1407" s="35"/>
      <c r="L1407" s="35"/>
      <c r="M1407" s="35"/>
    </row>
    <row r="1408" spans="2:13" x14ac:dyDescent="0.35">
      <c r="B1408" s="32"/>
      <c r="C1408" s="35"/>
      <c r="D1408" s="35"/>
      <c r="E1408" s="35"/>
      <c r="F1408" s="35"/>
      <c r="G1408" s="35"/>
      <c r="H1408" s="35"/>
      <c r="I1408" s="35"/>
      <c r="J1408" s="35"/>
      <c r="K1408" s="35"/>
      <c r="L1408" s="35"/>
      <c r="M1408" s="35"/>
    </row>
    <row r="1409" spans="2:13" x14ac:dyDescent="0.35">
      <c r="B1409" s="32"/>
      <c r="C1409" s="35"/>
      <c r="D1409" s="35"/>
      <c r="E1409" s="35"/>
      <c r="F1409" s="35"/>
      <c r="G1409" s="35"/>
      <c r="H1409" s="35"/>
      <c r="I1409" s="35"/>
      <c r="J1409" s="35"/>
      <c r="K1409" s="35"/>
      <c r="L1409" s="35"/>
      <c r="M1409" s="35"/>
    </row>
    <row r="1410" spans="2:13" x14ac:dyDescent="0.35">
      <c r="B1410" s="32"/>
      <c r="C1410" s="35"/>
      <c r="D1410" s="35"/>
      <c r="E1410" s="35"/>
      <c r="F1410" s="35"/>
      <c r="G1410" s="35"/>
      <c r="H1410" s="35"/>
      <c r="I1410" s="35"/>
      <c r="J1410" s="35"/>
      <c r="K1410" s="35"/>
      <c r="L1410" s="35"/>
      <c r="M1410" s="35"/>
    </row>
    <row r="1411" spans="2:13" x14ac:dyDescent="0.35">
      <c r="B1411" s="32"/>
      <c r="C1411" s="35"/>
      <c r="D1411" s="35"/>
      <c r="E1411" s="35"/>
      <c r="F1411" s="35"/>
      <c r="G1411" s="35"/>
      <c r="H1411" s="35"/>
      <c r="I1411" s="35"/>
      <c r="J1411" s="35"/>
      <c r="K1411" s="35"/>
      <c r="L1411" s="35"/>
      <c r="M1411" s="35"/>
    </row>
    <row r="1412" spans="2:13" x14ac:dyDescent="0.35">
      <c r="B1412" s="32"/>
      <c r="C1412" s="35"/>
      <c r="D1412" s="35"/>
      <c r="E1412" s="35"/>
      <c r="F1412" s="35"/>
      <c r="G1412" s="35"/>
      <c r="H1412" s="35"/>
      <c r="I1412" s="35"/>
      <c r="J1412" s="35"/>
      <c r="K1412" s="35"/>
      <c r="L1412" s="35"/>
      <c r="M1412" s="35"/>
    </row>
    <row r="1413" spans="2:13" x14ac:dyDescent="0.35">
      <c r="B1413" s="32"/>
      <c r="C1413" s="35"/>
      <c r="D1413" s="35"/>
      <c r="E1413" s="35"/>
      <c r="F1413" s="35"/>
      <c r="G1413" s="35"/>
      <c r="H1413" s="35"/>
      <c r="I1413" s="35"/>
      <c r="J1413" s="35"/>
      <c r="K1413" s="35"/>
      <c r="L1413" s="35"/>
      <c r="M1413" s="35"/>
    </row>
    <row r="1414" spans="2:13" x14ac:dyDescent="0.35">
      <c r="B1414" s="32"/>
      <c r="C1414" s="35"/>
      <c r="D1414" s="35"/>
      <c r="E1414" s="35"/>
      <c r="F1414" s="35"/>
      <c r="G1414" s="35"/>
      <c r="H1414" s="35"/>
      <c r="I1414" s="35"/>
      <c r="J1414" s="35"/>
      <c r="K1414" s="35"/>
      <c r="L1414" s="35"/>
      <c r="M1414" s="35"/>
    </row>
    <row r="1415" spans="2:13" x14ac:dyDescent="0.35">
      <c r="B1415" s="32"/>
      <c r="C1415" s="35"/>
      <c r="D1415" s="35"/>
      <c r="E1415" s="35"/>
      <c r="F1415" s="35"/>
      <c r="G1415" s="35"/>
      <c r="H1415" s="35"/>
      <c r="I1415" s="35"/>
      <c r="J1415" s="35"/>
      <c r="K1415" s="35"/>
      <c r="L1415" s="35"/>
      <c r="M1415" s="35"/>
    </row>
    <row r="1416" spans="2:13" x14ac:dyDescent="0.35">
      <c r="B1416" s="32"/>
      <c r="C1416" s="35"/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</row>
    <row r="1417" spans="2:13" x14ac:dyDescent="0.35">
      <c r="B1417" s="32"/>
      <c r="C1417" s="35"/>
      <c r="D1417" s="35"/>
      <c r="E1417" s="35"/>
      <c r="F1417" s="35"/>
      <c r="G1417" s="35"/>
      <c r="H1417" s="35"/>
      <c r="I1417" s="35"/>
      <c r="J1417" s="35"/>
      <c r="K1417" s="35"/>
      <c r="L1417" s="35"/>
      <c r="M1417" s="35"/>
    </row>
    <row r="1418" spans="2:13" x14ac:dyDescent="0.35">
      <c r="B1418" s="32"/>
      <c r="C1418" s="35"/>
      <c r="D1418" s="35"/>
      <c r="E1418" s="35"/>
      <c r="F1418" s="35"/>
      <c r="G1418" s="35"/>
      <c r="H1418" s="35"/>
      <c r="I1418" s="35"/>
      <c r="J1418" s="35"/>
      <c r="K1418" s="35"/>
      <c r="L1418" s="35"/>
      <c r="M1418" s="35"/>
    </row>
    <row r="1419" spans="2:13" x14ac:dyDescent="0.35">
      <c r="B1419" s="32"/>
      <c r="C1419" s="35"/>
      <c r="D1419" s="35"/>
      <c r="E1419" s="35"/>
      <c r="F1419" s="35"/>
      <c r="G1419" s="35"/>
      <c r="H1419" s="35"/>
      <c r="I1419" s="35"/>
      <c r="J1419" s="35"/>
      <c r="K1419" s="35"/>
      <c r="L1419" s="35"/>
      <c r="M1419" s="35"/>
    </row>
    <row r="1420" spans="2:13" x14ac:dyDescent="0.35">
      <c r="B1420" s="32"/>
      <c r="C1420" s="35"/>
      <c r="D1420" s="35"/>
      <c r="E1420" s="35"/>
      <c r="F1420" s="35"/>
      <c r="G1420" s="35"/>
      <c r="H1420" s="35"/>
      <c r="I1420" s="35"/>
      <c r="J1420" s="35"/>
      <c r="K1420" s="35"/>
      <c r="L1420" s="35"/>
      <c r="M1420" s="35"/>
    </row>
    <row r="1421" spans="2:13" x14ac:dyDescent="0.35">
      <c r="B1421" s="32"/>
      <c r="C1421" s="35"/>
      <c r="D1421" s="35"/>
      <c r="E1421" s="35"/>
      <c r="F1421" s="35"/>
      <c r="G1421" s="35"/>
      <c r="H1421" s="35"/>
      <c r="I1421" s="35"/>
      <c r="J1421" s="35"/>
      <c r="K1421" s="35"/>
      <c r="L1421" s="35"/>
      <c r="M1421" s="35"/>
    </row>
    <row r="1422" spans="2:13" x14ac:dyDescent="0.35">
      <c r="B1422" s="32"/>
      <c r="C1422" s="35"/>
      <c r="D1422" s="35"/>
      <c r="E1422" s="35"/>
      <c r="F1422" s="35"/>
      <c r="G1422" s="35"/>
      <c r="H1422" s="35"/>
      <c r="I1422" s="35"/>
      <c r="J1422" s="35"/>
      <c r="K1422" s="35"/>
      <c r="L1422" s="35"/>
      <c r="M1422" s="35"/>
    </row>
    <row r="1423" spans="2:13" x14ac:dyDescent="0.35">
      <c r="B1423" s="32"/>
      <c r="C1423" s="35"/>
      <c r="D1423" s="35"/>
      <c r="E1423" s="35"/>
      <c r="F1423" s="35"/>
      <c r="G1423" s="35"/>
      <c r="H1423" s="35"/>
      <c r="I1423" s="35"/>
      <c r="J1423" s="35"/>
      <c r="K1423" s="35"/>
      <c r="L1423" s="35"/>
      <c r="M1423" s="35"/>
    </row>
    <row r="1424" spans="2:13" x14ac:dyDescent="0.35">
      <c r="B1424" s="32"/>
      <c r="C1424" s="35"/>
      <c r="D1424" s="35"/>
      <c r="E1424" s="35"/>
      <c r="F1424" s="35"/>
      <c r="G1424" s="35"/>
      <c r="H1424" s="35"/>
      <c r="I1424" s="35"/>
      <c r="J1424" s="35"/>
      <c r="K1424" s="35"/>
      <c r="L1424" s="35"/>
      <c r="M1424" s="35"/>
    </row>
    <row r="1425" spans="2:13" x14ac:dyDescent="0.35">
      <c r="B1425" s="32"/>
      <c r="C1425" s="35"/>
      <c r="D1425" s="35"/>
      <c r="E1425" s="35"/>
      <c r="F1425" s="35"/>
      <c r="G1425" s="35"/>
      <c r="H1425" s="35"/>
      <c r="I1425" s="35"/>
      <c r="J1425" s="35"/>
      <c r="K1425" s="35"/>
      <c r="L1425" s="35"/>
      <c r="M1425" s="35"/>
    </row>
    <row r="1426" spans="2:13" x14ac:dyDescent="0.35">
      <c r="B1426" s="32"/>
      <c r="C1426" s="35"/>
      <c r="D1426" s="35"/>
      <c r="E1426" s="35"/>
      <c r="F1426" s="35"/>
      <c r="G1426" s="35"/>
      <c r="H1426" s="35"/>
      <c r="I1426" s="35"/>
      <c r="J1426" s="35"/>
      <c r="K1426" s="35"/>
      <c r="L1426" s="35"/>
      <c r="M1426" s="35"/>
    </row>
    <row r="1427" spans="2:13" x14ac:dyDescent="0.35">
      <c r="B1427" s="32"/>
      <c r="C1427" s="35"/>
      <c r="D1427" s="35"/>
      <c r="E1427" s="35"/>
      <c r="F1427" s="35"/>
      <c r="G1427" s="35"/>
      <c r="H1427" s="35"/>
      <c r="I1427" s="35"/>
      <c r="J1427" s="35"/>
      <c r="K1427" s="35"/>
      <c r="L1427" s="35"/>
      <c r="M1427" s="35"/>
    </row>
    <row r="1428" spans="2:13" x14ac:dyDescent="0.35">
      <c r="B1428" s="32"/>
      <c r="C1428" s="35"/>
      <c r="D1428" s="35"/>
      <c r="E1428" s="35"/>
      <c r="F1428" s="35"/>
      <c r="G1428" s="35"/>
      <c r="H1428" s="35"/>
      <c r="I1428" s="35"/>
      <c r="J1428" s="35"/>
      <c r="K1428" s="35"/>
      <c r="L1428" s="35"/>
      <c r="M1428" s="35"/>
    </row>
    <row r="1429" spans="2:13" x14ac:dyDescent="0.35">
      <c r="B1429" s="32"/>
      <c r="C1429" s="35"/>
      <c r="D1429" s="35"/>
      <c r="E1429" s="35"/>
      <c r="F1429" s="35"/>
      <c r="G1429" s="35"/>
      <c r="H1429" s="35"/>
      <c r="I1429" s="35"/>
      <c r="J1429" s="35"/>
      <c r="K1429" s="35"/>
      <c r="L1429" s="35"/>
      <c r="M1429" s="35"/>
    </row>
    <row r="1430" spans="2:13" x14ac:dyDescent="0.35">
      <c r="B1430" s="32"/>
      <c r="C1430" s="35"/>
      <c r="D1430" s="35"/>
      <c r="E1430" s="35"/>
      <c r="F1430" s="35"/>
      <c r="G1430" s="35"/>
      <c r="H1430" s="35"/>
      <c r="I1430" s="35"/>
      <c r="J1430" s="35"/>
      <c r="K1430" s="35"/>
      <c r="L1430" s="35"/>
      <c r="M1430" s="35"/>
    </row>
    <row r="1431" spans="2:13" x14ac:dyDescent="0.35">
      <c r="B1431" s="32"/>
      <c r="C1431" s="35"/>
      <c r="D1431" s="35"/>
      <c r="E1431" s="35"/>
      <c r="F1431" s="35"/>
      <c r="G1431" s="35"/>
      <c r="H1431" s="35"/>
      <c r="I1431" s="35"/>
      <c r="J1431" s="35"/>
      <c r="K1431" s="35"/>
      <c r="L1431" s="35"/>
      <c r="M1431" s="35"/>
    </row>
    <row r="1432" spans="2:13" x14ac:dyDescent="0.35">
      <c r="B1432" s="32"/>
      <c r="C1432" s="35"/>
      <c r="D1432" s="35"/>
      <c r="E1432" s="35"/>
      <c r="F1432" s="35"/>
      <c r="G1432" s="35"/>
      <c r="H1432" s="35"/>
      <c r="I1432" s="35"/>
      <c r="J1432" s="35"/>
      <c r="K1432" s="35"/>
      <c r="L1432" s="35"/>
      <c r="M1432" s="35"/>
    </row>
    <row r="1433" spans="2:13" x14ac:dyDescent="0.35">
      <c r="B1433" s="32"/>
      <c r="C1433" s="35"/>
      <c r="D1433" s="35"/>
      <c r="E1433" s="35"/>
      <c r="F1433" s="35"/>
      <c r="G1433" s="35"/>
      <c r="H1433" s="35"/>
      <c r="I1433" s="35"/>
      <c r="J1433" s="35"/>
      <c r="K1433" s="35"/>
      <c r="L1433" s="35"/>
      <c r="M1433" s="35"/>
    </row>
    <row r="1434" spans="2:13" x14ac:dyDescent="0.35">
      <c r="B1434" s="32"/>
      <c r="C1434" s="35"/>
      <c r="D1434" s="35"/>
      <c r="E1434" s="35"/>
      <c r="F1434" s="35"/>
      <c r="G1434" s="35"/>
      <c r="H1434" s="35"/>
      <c r="I1434" s="35"/>
      <c r="J1434" s="35"/>
      <c r="K1434" s="35"/>
      <c r="L1434" s="35"/>
      <c r="M1434" s="35"/>
    </row>
    <row r="1435" spans="2:13" x14ac:dyDescent="0.35">
      <c r="B1435" s="32"/>
      <c r="C1435" s="35"/>
      <c r="D1435" s="35"/>
      <c r="E1435" s="35"/>
      <c r="F1435" s="35"/>
      <c r="G1435" s="35"/>
      <c r="H1435" s="35"/>
      <c r="I1435" s="35"/>
      <c r="J1435" s="35"/>
      <c r="K1435" s="35"/>
      <c r="L1435" s="35"/>
      <c r="M1435" s="35"/>
    </row>
    <row r="1436" spans="2:13" x14ac:dyDescent="0.35">
      <c r="B1436" s="32"/>
      <c r="C1436" s="35"/>
      <c r="D1436" s="35"/>
      <c r="E1436" s="35"/>
      <c r="F1436" s="35"/>
      <c r="G1436" s="35"/>
      <c r="H1436" s="35"/>
      <c r="I1436" s="35"/>
      <c r="J1436" s="35"/>
      <c r="K1436" s="35"/>
      <c r="L1436" s="35"/>
      <c r="M1436" s="35"/>
    </row>
    <row r="1437" spans="2:13" x14ac:dyDescent="0.35">
      <c r="B1437" s="32"/>
      <c r="C1437" s="35"/>
      <c r="D1437" s="35"/>
      <c r="E1437" s="35"/>
      <c r="F1437" s="35"/>
      <c r="G1437" s="35"/>
      <c r="H1437" s="35"/>
      <c r="I1437" s="35"/>
      <c r="J1437" s="35"/>
      <c r="K1437" s="35"/>
      <c r="L1437" s="35"/>
      <c r="M1437" s="35"/>
    </row>
    <row r="1438" spans="2:13" x14ac:dyDescent="0.35">
      <c r="B1438" s="32"/>
      <c r="C1438" s="35"/>
      <c r="D1438" s="35"/>
      <c r="E1438" s="35"/>
      <c r="F1438" s="35"/>
      <c r="G1438" s="35"/>
      <c r="H1438" s="35"/>
      <c r="I1438" s="35"/>
      <c r="J1438" s="35"/>
      <c r="K1438" s="35"/>
      <c r="L1438" s="35"/>
      <c r="M1438" s="35"/>
    </row>
    <row r="1439" spans="2:13" x14ac:dyDescent="0.35">
      <c r="B1439" s="32"/>
      <c r="C1439" s="35"/>
      <c r="D1439" s="35"/>
      <c r="E1439" s="35"/>
      <c r="F1439" s="35"/>
      <c r="G1439" s="35"/>
      <c r="H1439" s="35"/>
      <c r="I1439" s="35"/>
      <c r="J1439" s="35"/>
      <c r="K1439" s="35"/>
      <c r="L1439" s="35"/>
      <c r="M1439" s="35"/>
    </row>
    <row r="1440" spans="2:13" x14ac:dyDescent="0.35">
      <c r="B1440" s="32"/>
      <c r="C1440" s="35"/>
      <c r="D1440" s="35"/>
      <c r="E1440" s="35"/>
      <c r="F1440" s="35"/>
      <c r="G1440" s="35"/>
      <c r="H1440" s="35"/>
      <c r="I1440" s="35"/>
      <c r="J1440" s="35"/>
      <c r="K1440" s="35"/>
      <c r="L1440" s="35"/>
      <c r="M1440" s="35"/>
    </row>
    <row r="1441" spans="2:13" x14ac:dyDescent="0.35">
      <c r="B1441" s="32"/>
      <c r="C1441" s="35"/>
      <c r="D1441" s="35"/>
      <c r="E1441" s="35"/>
      <c r="F1441" s="35"/>
      <c r="G1441" s="35"/>
      <c r="H1441" s="35"/>
      <c r="I1441" s="35"/>
      <c r="J1441" s="35"/>
      <c r="K1441" s="35"/>
      <c r="L1441" s="35"/>
      <c r="M1441" s="35"/>
    </row>
    <row r="1442" spans="2:13" x14ac:dyDescent="0.35">
      <c r="B1442" s="32"/>
      <c r="C1442" s="35"/>
      <c r="D1442" s="35"/>
      <c r="E1442" s="35"/>
      <c r="F1442" s="35"/>
      <c r="G1442" s="35"/>
      <c r="H1442" s="35"/>
      <c r="I1442" s="35"/>
      <c r="J1442" s="35"/>
      <c r="K1442" s="35"/>
      <c r="L1442" s="35"/>
      <c r="M1442" s="35"/>
    </row>
    <row r="1443" spans="2:13" x14ac:dyDescent="0.35">
      <c r="B1443" s="32"/>
      <c r="C1443" s="35"/>
      <c r="D1443" s="35"/>
      <c r="E1443" s="35"/>
      <c r="F1443" s="35"/>
      <c r="G1443" s="35"/>
      <c r="H1443" s="35"/>
      <c r="I1443" s="35"/>
      <c r="J1443" s="35"/>
      <c r="K1443" s="35"/>
      <c r="L1443" s="35"/>
      <c r="M1443" s="35"/>
    </row>
    <row r="1444" spans="2:13" x14ac:dyDescent="0.35">
      <c r="B1444" s="32"/>
      <c r="C1444" s="35"/>
      <c r="D1444" s="35"/>
      <c r="E1444" s="35"/>
      <c r="F1444" s="35"/>
      <c r="G1444" s="35"/>
      <c r="H1444" s="35"/>
      <c r="I1444" s="35"/>
      <c r="J1444" s="35"/>
      <c r="K1444" s="35"/>
      <c r="L1444" s="35"/>
      <c r="M1444" s="35"/>
    </row>
    <row r="1445" spans="2:13" x14ac:dyDescent="0.35">
      <c r="B1445" s="32"/>
      <c r="C1445" s="35"/>
      <c r="D1445" s="35"/>
      <c r="E1445" s="35"/>
      <c r="F1445" s="35"/>
      <c r="G1445" s="35"/>
      <c r="H1445" s="35"/>
      <c r="I1445" s="35"/>
      <c r="J1445" s="35"/>
      <c r="K1445" s="35"/>
      <c r="L1445" s="35"/>
      <c r="M1445" s="35"/>
    </row>
    <row r="1446" spans="2:13" x14ac:dyDescent="0.35">
      <c r="B1446" s="32"/>
      <c r="C1446" s="35"/>
      <c r="D1446" s="35"/>
      <c r="E1446" s="35"/>
      <c r="F1446" s="35"/>
      <c r="G1446" s="35"/>
      <c r="H1446" s="35"/>
      <c r="I1446" s="35"/>
      <c r="J1446" s="35"/>
      <c r="K1446" s="35"/>
      <c r="L1446" s="35"/>
      <c r="M1446" s="35"/>
    </row>
    <row r="1447" spans="2:13" x14ac:dyDescent="0.35">
      <c r="B1447" s="32"/>
      <c r="C1447" s="35"/>
      <c r="D1447" s="35"/>
      <c r="E1447" s="35"/>
      <c r="F1447" s="35"/>
      <c r="G1447" s="35"/>
      <c r="H1447" s="35"/>
      <c r="I1447" s="35"/>
      <c r="J1447" s="35"/>
      <c r="K1447" s="35"/>
      <c r="L1447" s="35"/>
      <c r="M1447" s="35"/>
    </row>
    <row r="1448" spans="2:13" x14ac:dyDescent="0.35">
      <c r="B1448" s="32"/>
      <c r="C1448" s="35"/>
      <c r="D1448" s="35"/>
      <c r="E1448" s="35"/>
      <c r="F1448" s="35"/>
      <c r="G1448" s="35"/>
      <c r="H1448" s="35"/>
      <c r="I1448" s="35"/>
      <c r="J1448" s="35"/>
      <c r="K1448" s="35"/>
      <c r="L1448" s="35"/>
      <c r="M1448" s="35"/>
    </row>
    <row r="1449" spans="2:13" x14ac:dyDescent="0.35">
      <c r="B1449" s="32"/>
      <c r="C1449" s="35"/>
      <c r="D1449" s="35"/>
      <c r="E1449" s="35"/>
      <c r="F1449" s="35"/>
      <c r="G1449" s="35"/>
      <c r="H1449" s="35"/>
      <c r="I1449" s="35"/>
      <c r="J1449" s="35"/>
      <c r="K1449" s="35"/>
      <c r="L1449" s="35"/>
      <c r="M1449" s="35"/>
    </row>
    <row r="1450" spans="2:13" x14ac:dyDescent="0.35">
      <c r="B1450" s="32"/>
      <c r="C1450" s="35"/>
      <c r="D1450" s="35"/>
      <c r="E1450" s="35"/>
      <c r="F1450" s="35"/>
      <c r="G1450" s="35"/>
      <c r="H1450" s="35"/>
      <c r="I1450" s="35"/>
      <c r="J1450" s="35"/>
      <c r="K1450" s="35"/>
      <c r="L1450" s="35"/>
      <c r="M1450" s="35"/>
    </row>
    <row r="1451" spans="2:13" x14ac:dyDescent="0.35">
      <c r="B1451" s="32"/>
      <c r="C1451" s="35"/>
      <c r="D1451" s="35"/>
      <c r="E1451" s="35"/>
      <c r="F1451" s="35"/>
      <c r="G1451" s="35"/>
      <c r="H1451" s="35"/>
      <c r="I1451" s="35"/>
      <c r="J1451" s="35"/>
      <c r="K1451" s="35"/>
      <c r="L1451" s="35"/>
      <c r="M1451" s="35"/>
    </row>
    <row r="1452" spans="2:13" x14ac:dyDescent="0.35">
      <c r="B1452" s="32"/>
      <c r="C1452" s="35"/>
      <c r="D1452" s="35"/>
      <c r="E1452" s="35"/>
      <c r="F1452" s="35"/>
      <c r="G1452" s="35"/>
      <c r="H1452" s="35"/>
      <c r="I1452" s="35"/>
      <c r="J1452" s="35"/>
      <c r="K1452" s="35"/>
      <c r="L1452" s="35"/>
      <c r="M1452" s="35"/>
    </row>
    <row r="1453" spans="2:13" x14ac:dyDescent="0.35">
      <c r="B1453" s="32"/>
      <c r="C1453" s="35"/>
      <c r="D1453" s="35"/>
      <c r="E1453" s="35"/>
      <c r="F1453" s="35"/>
      <c r="G1453" s="35"/>
      <c r="H1453" s="35"/>
      <c r="I1453" s="35"/>
      <c r="J1453" s="35"/>
      <c r="K1453" s="35"/>
      <c r="L1453" s="35"/>
      <c r="M1453" s="35"/>
    </row>
    <row r="1454" spans="2:13" x14ac:dyDescent="0.35">
      <c r="B1454" s="32"/>
      <c r="C1454" s="35"/>
      <c r="D1454" s="35"/>
      <c r="E1454" s="35"/>
      <c r="F1454" s="35"/>
      <c r="G1454" s="35"/>
      <c r="H1454" s="35"/>
      <c r="I1454" s="35"/>
      <c r="J1454" s="35"/>
      <c r="K1454" s="35"/>
      <c r="L1454" s="35"/>
      <c r="M1454" s="35"/>
    </row>
    <row r="1455" spans="2:13" x14ac:dyDescent="0.35">
      <c r="B1455" s="32"/>
      <c r="C1455" s="35"/>
      <c r="D1455" s="35"/>
      <c r="E1455" s="35"/>
      <c r="F1455" s="35"/>
      <c r="G1455" s="35"/>
      <c r="H1455" s="35"/>
      <c r="I1455" s="35"/>
      <c r="J1455" s="35"/>
      <c r="K1455" s="35"/>
      <c r="L1455" s="35"/>
      <c r="M1455" s="35"/>
    </row>
    <row r="1456" spans="2:13" x14ac:dyDescent="0.35">
      <c r="B1456" s="32"/>
      <c r="C1456" s="35"/>
      <c r="D1456" s="35"/>
      <c r="E1456" s="35"/>
      <c r="F1456" s="35"/>
      <c r="G1456" s="35"/>
      <c r="H1456" s="35"/>
      <c r="I1456" s="35"/>
      <c r="J1456" s="35"/>
      <c r="K1456" s="35"/>
      <c r="L1456" s="35"/>
      <c r="M1456" s="35"/>
    </row>
    <row r="1457" spans="2:13" x14ac:dyDescent="0.35">
      <c r="B1457" s="32"/>
      <c r="C1457" s="35"/>
      <c r="D1457" s="35"/>
      <c r="E1457" s="35"/>
      <c r="F1457" s="35"/>
      <c r="G1457" s="35"/>
      <c r="H1457" s="35"/>
      <c r="I1457" s="35"/>
      <c r="J1457" s="35"/>
      <c r="K1457" s="35"/>
      <c r="L1457" s="35"/>
      <c r="M1457" s="35"/>
    </row>
    <row r="1458" spans="2:13" x14ac:dyDescent="0.35">
      <c r="B1458" s="32"/>
      <c r="C1458" s="35"/>
      <c r="D1458" s="35"/>
      <c r="E1458" s="35"/>
      <c r="F1458" s="35"/>
      <c r="G1458" s="35"/>
      <c r="H1458" s="35"/>
      <c r="I1458" s="35"/>
      <c r="J1458" s="35"/>
      <c r="K1458" s="35"/>
      <c r="L1458" s="35"/>
      <c r="M1458" s="35"/>
    </row>
    <row r="1459" spans="2:13" x14ac:dyDescent="0.35">
      <c r="B1459" s="32"/>
      <c r="C1459" s="35"/>
      <c r="D1459" s="35"/>
      <c r="E1459" s="35"/>
      <c r="F1459" s="35"/>
      <c r="G1459" s="35"/>
      <c r="H1459" s="35"/>
      <c r="I1459" s="35"/>
      <c r="J1459" s="35"/>
      <c r="K1459" s="35"/>
      <c r="L1459" s="35"/>
      <c r="M1459" s="35"/>
    </row>
    <row r="1460" spans="2:13" x14ac:dyDescent="0.35">
      <c r="B1460" s="32"/>
      <c r="C1460" s="35"/>
      <c r="D1460" s="35"/>
      <c r="E1460" s="35"/>
      <c r="F1460" s="35"/>
      <c r="G1460" s="35"/>
      <c r="H1460" s="35"/>
      <c r="I1460" s="35"/>
      <c r="J1460" s="35"/>
      <c r="K1460" s="35"/>
      <c r="L1460" s="35"/>
      <c r="M1460" s="35"/>
    </row>
    <row r="1461" spans="2:13" x14ac:dyDescent="0.35">
      <c r="B1461" s="32"/>
      <c r="C1461" s="35"/>
      <c r="D1461" s="35"/>
      <c r="E1461" s="35"/>
      <c r="F1461" s="35"/>
      <c r="G1461" s="35"/>
      <c r="H1461" s="35"/>
      <c r="I1461" s="35"/>
      <c r="J1461" s="35"/>
      <c r="K1461" s="35"/>
      <c r="L1461" s="35"/>
      <c r="M1461" s="35"/>
    </row>
    <row r="1462" spans="2:13" x14ac:dyDescent="0.35">
      <c r="B1462" s="32"/>
      <c r="C1462" s="35"/>
      <c r="D1462" s="35"/>
      <c r="E1462" s="35"/>
      <c r="F1462" s="35"/>
      <c r="G1462" s="35"/>
      <c r="H1462" s="35"/>
      <c r="I1462" s="35"/>
      <c r="J1462" s="35"/>
      <c r="K1462" s="35"/>
      <c r="L1462" s="35"/>
      <c r="M1462" s="35"/>
    </row>
    <row r="1463" spans="2:13" x14ac:dyDescent="0.35">
      <c r="B1463" s="32"/>
      <c r="C1463" s="35"/>
      <c r="D1463" s="35"/>
      <c r="E1463" s="35"/>
      <c r="F1463" s="35"/>
      <c r="G1463" s="35"/>
      <c r="H1463" s="35"/>
      <c r="I1463" s="35"/>
      <c r="J1463" s="35"/>
      <c r="K1463" s="35"/>
      <c r="L1463" s="35"/>
      <c r="M1463" s="35"/>
    </row>
    <row r="1464" spans="2:13" x14ac:dyDescent="0.35">
      <c r="B1464" s="32"/>
      <c r="C1464" s="35"/>
      <c r="D1464" s="35"/>
      <c r="E1464" s="35"/>
      <c r="F1464" s="35"/>
      <c r="G1464" s="35"/>
      <c r="H1464" s="35"/>
      <c r="I1464" s="35"/>
      <c r="J1464" s="35"/>
      <c r="K1464" s="35"/>
      <c r="L1464" s="35"/>
      <c r="M1464" s="35"/>
    </row>
    <row r="1465" spans="2:13" x14ac:dyDescent="0.35">
      <c r="B1465" s="32"/>
      <c r="C1465" s="35"/>
      <c r="D1465" s="35"/>
      <c r="E1465" s="35"/>
      <c r="F1465" s="35"/>
      <c r="G1465" s="35"/>
      <c r="H1465" s="35"/>
      <c r="I1465" s="35"/>
      <c r="J1465" s="35"/>
      <c r="K1465" s="35"/>
      <c r="L1465" s="35"/>
      <c r="M1465" s="35"/>
    </row>
    <row r="1466" spans="2:13" x14ac:dyDescent="0.35">
      <c r="B1466" s="32"/>
      <c r="C1466" s="35"/>
      <c r="D1466" s="35"/>
      <c r="E1466" s="35"/>
      <c r="F1466" s="35"/>
      <c r="G1466" s="35"/>
      <c r="H1466" s="35"/>
      <c r="I1466" s="35"/>
      <c r="J1466" s="35"/>
      <c r="K1466" s="35"/>
      <c r="L1466" s="35"/>
      <c r="M1466" s="35"/>
    </row>
    <row r="1467" spans="2:13" x14ac:dyDescent="0.35">
      <c r="B1467" s="32"/>
      <c r="C1467" s="35"/>
      <c r="D1467" s="35"/>
      <c r="E1467" s="35"/>
      <c r="F1467" s="35"/>
      <c r="G1467" s="35"/>
      <c r="H1467" s="35"/>
      <c r="I1467" s="35"/>
      <c r="J1467" s="35"/>
      <c r="K1467" s="35"/>
      <c r="L1467" s="35"/>
      <c r="M1467" s="35"/>
    </row>
    <row r="1468" spans="2:13" x14ac:dyDescent="0.35">
      <c r="B1468" s="32"/>
      <c r="C1468" s="35"/>
      <c r="D1468" s="35"/>
      <c r="E1468" s="35"/>
      <c r="F1468" s="35"/>
      <c r="G1468" s="35"/>
      <c r="H1468" s="35"/>
      <c r="I1468" s="35"/>
      <c r="J1468" s="35"/>
      <c r="K1468" s="35"/>
      <c r="L1468" s="35"/>
      <c r="M1468" s="35"/>
    </row>
    <row r="1469" spans="2:13" x14ac:dyDescent="0.35">
      <c r="B1469" s="32"/>
      <c r="C1469" s="35"/>
      <c r="D1469" s="35"/>
      <c r="E1469" s="35"/>
      <c r="F1469" s="35"/>
      <c r="G1469" s="35"/>
      <c r="H1469" s="35"/>
      <c r="I1469" s="35"/>
      <c r="J1469" s="35"/>
      <c r="K1469" s="35"/>
      <c r="L1469" s="35"/>
      <c r="M1469" s="35"/>
    </row>
    <row r="1470" spans="2:13" x14ac:dyDescent="0.35">
      <c r="B1470" s="32"/>
      <c r="C1470" s="35"/>
      <c r="D1470" s="35"/>
      <c r="E1470" s="35"/>
      <c r="F1470" s="35"/>
      <c r="G1470" s="35"/>
      <c r="H1470" s="35"/>
      <c r="I1470" s="35"/>
      <c r="J1470" s="35"/>
      <c r="K1470" s="35"/>
      <c r="L1470" s="35"/>
      <c r="M1470" s="35"/>
    </row>
    <row r="1471" spans="2:13" x14ac:dyDescent="0.35">
      <c r="B1471" s="32"/>
      <c r="C1471" s="35"/>
      <c r="D1471" s="35"/>
      <c r="E1471" s="35"/>
      <c r="F1471" s="35"/>
      <c r="G1471" s="35"/>
      <c r="H1471" s="35"/>
      <c r="I1471" s="35"/>
      <c r="J1471" s="35"/>
      <c r="K1471" s="35"/>
      <c r="L1471" s="35"/>
      <c r="M1471" s="35"/>
    </row>
    <row r="1472" spans="2:13" x14ac:dyDescent="0.35">
      <c r="B1472" s="32"/>
      <c r="C1472" s="35"/>
      <c r="D1472" s="35"/>
      <c r="E1472" s="35"/>
      <c r="F1472" s="35"/>
      <c r="G1472" s="35"/>
      <c r="H1472" s="35"/>
      <c r="I1472" s="35"/>
      <c r="J1472" s="35"/>
      <c r="K1472" s="35"/>
      <c r="L1472" s="35"/>
      <c r="M1472" s="35"/>
    </row>
    <row r="1473" spans="2:13" x14ac:dyDescent="0.35">
      <c r="B1473" s="32"/>
      <c r="C1473" s="35"/>
      <c r="D1473" s="35"/>
      <c r="E1473" s="35"/>
      <c r="F1473" s="35"/>
      <c r="G1473" s="35"/>
      <c r="H1473" s="35"/>
      <c r="I1473" s="35"/>
      <c r="J1473" s="35"/>
      <c r="K1473" s="35"/>
      <c r="L1473" s="35"/>
      <c r="M1473" s="35"/>
    </row>
    <row r="1474" spans="2:13" x14ac:dyDescent="0.35">
      <c r="B1474" s="32"/>
      <c r="C1474" s="35"/>
      <c r="D1474" s="35"/>
      <c r="E1474" s="35"/>
      <c r="F1474" s="35"/>
      <c r="G1474" s="35"/>
      <c r="H1474" s="35"/>
      <c r="I1474" s="35"/>
      <c r="J1474" s="35"/>
      <c r="K1474" s="35"/>
      <c r="L1474" s="35"/>
      <c r="M1474" s="35"/>
    </row>
    <row r="1475" spans="2:13" x14ac:dyDescent="0.35">
      <c r="B1475" s="32"/>
      <c r="C1475" s="35"/>
      <c r="D1475" s="35"/>
      <c r="E1475" s="35"/>
      <c r="F1475" s="35"/>
      <c r="G1475" s="35"/>
      <c r="H1475" s="35"/>
      <c r="I1475" s="35"/>
      <c r="J1475" s="35"/>
      <c r="K1475" s="35"/>
      <c r="L1475" s="35"/>
      <c r="M1475" s="35"/>
    </row>
    <row r="1476" spans="2:13" x14ac:dyDescent="0.35">
      <c r="B1476" s="32"/>
      <c r="C1476" s="35"/>
      <c r="D1476" s="35"/>
      <c r="E1476" s="35"/>
      <c r="F1476" s="35"/>
      <c r="G1476" s="35"/>
      <c r="H1476" s="35"/>
      <c r="I1476" s="35"/>
      <c r="J1476" s="35"/>
      <c r="K1476" s="35"/>
      <c r="L1476" s="35"/>
      <c r="M1476" s="35"/>
    </row>
    <row r="1477" spans="2:13" x14ac:dyDescent="0.35">
      <c r="B1477" s="32"/>
      <c r="C1477" s="35"/>
      <c r="D1477" s="35"/>
      <c r="E1477" s="35"/>
      <c r="F1477" s="35"/>
      <c r="G1477" s="35"/>
      <c r="H1477" s="35"/>
      <c r="I1477" s="35"/>
      <c r="J1477" s="35"/>
      <c r="K1477" s="35"/>
      <c r="L1477" s="35"/>
      <c r="M1477" s="35"/>
    </row>
    <row r="1478" spans="2:13" x14ac:dyDescent="0.35">
      <c r="B1478" s="32"/>
      <c r="C1478" s="35"/>
      <c r="D1478" s="35"/>
      <c r="E1478" s="35"/>
      <c r="F1478" s="35"/>
      <c r="G1478" s="35"/>
      <c r="H1478" s="35"/>
      <c r="I1478" s="35"/>
      <c r="J1478" s="35"/>
      <c r="K1478" s="35"/>
      <c r="L1478" s="35"/>
      <c r="M1478" s="35"/>
    </row>
    <row r="1479" spans="2:13" x14ac:dyDescent="0.35">
      <c r="B1479" s="32"/>
      <c r="C1479" s="35"/>
      <c r="D1479" s="35"/>
      <c r="E1479" s="35"/>
      <c r="F1479" s="35"/>
      <c r="G1479" s="35"/>
      <c r="H1479" s="35"/>
      <c r="I1479" s="35"/>
      <c r="J1479" s="35"/>
      <c r="K1479" s="35"/>
      <c r="L1479" s="35"/>
      <c r="M1479" s="35"/>
    </row>
    <row r="1480" spans="2:13" x14ac:dyDescent="0.35">
      <c r="B1480" s="32"/>
      <c r="C1480" s="35"/>
      <c r="D1480" s="35"/>
      <c r="E1480" s="35"/>
      <c r="F1480" s="35"/>
      <c r="G1480" s="35"/>
      <c r="H1480" s="35"/>
      <c r="I1480" s="35"/>
      <c r="J1480" s="35"/>
      <c r="K1480" s="35"/>
      <c r="L1480" s="35"/>
      <c r="M1480" s="35"/>
    </row>
    <row r="1481" spans="2:13" x14ac:dyDescent="0.35">
      <c r="B1481" s="32"/>
      <c r="C1481" s="35"/>
      <c r="D1481" s="35"/>
      <c r="E1481" s="35"/>
      <c r="F1481" s="35"/>
      <c r="G1481" s="35"/>
      <c r="H1481" s="35"/>
      <c r="I1481" s="35"/>
      <c r="J1481" s="35"/>
      <c r="K1481" s="35"/>
      <c r="L1481" s="35"/>
      <c r="M1481" s="35"/>
    </row>
    <row r="1482" spans="2:13" x14ac:dyDescent="0.35">
      <c r="B1482" s="32"/>
      <c r="C1482" s="35"/>
      <c r="D1482" s="35"/>
      <c r="E1482" s="35"/>
      <c r="F1482" s="35"/>
      <c r="G1482" s="35"/>
      <c r="H1482" s="35"/>
      <c r="I1482" s="35"/>
      <c r="J1482" s="35"/>
      <c r="K1482" s="35"/>
      <c r="L1482" s="35"/>
      <c r="M1482" s="35"/>
    </row>
    <row r="1483" spans="2:13" x14ac:dyDescent="0.35">
      <c r="B1483" s="32"/>
      <c r="C1483" s="35"/>
      <c r="D1483" s="35"/>
      <c r="E1483" s="35"/>
      <c r="F1483" s="35"/>
      <c r="G1483" s="35"/>
      <c r="H1483" s="35"/>
      <c r="I1483" s="35"/>
      <c r="J1483" s="35"/>
      <c r="K1483" s="35"/>
      <c r="L1483" s="35"/>
      <c r="M1483" s="35"/>
    </row>
    <row r="1484" spans="2:13" x14ac:dyDescent="0.35">
      <c r="B1484" s="32"/>
      <c r="C1484" s="35"/>
      <c r="D1484" s="35"/>
      <c r="E1484" s="35"/>
      <c r="F1484" s="35"/>
      <c r="G1484" s="35"/>
      <c r="H1484" s="35"/>
      <c r="I1484" s="35"/>
      <c r="J1484" s="35"/>
      <c r="K1484" s="35"/>
      <c r="L1484" s="35"/>
      <c r="M1484" s="35"/>
    </row>
    <row r="1485" spans="2:13" x14ac:dyDescent="0.35">
      <c r="B1485" s="32"/>
      <c r="C1485" s="35"/>
      <c r="D1485" s="35"/>
      <c r="E1485" s="35"/>
      <c r="F1485" s="35"/>
      <c r="G1485" s="35"/>
      <c r="H1485" s="35"/>
      <c r="I1485" s="35"/>
      <c r="J1485" s="35"/>
      <c r="K1485" s="35"/>
      <c r="L1485" s="35"/>
      <c r="M1485" s="35"/>
    </row>
    <row r="1486" spans="2:13" x14ac:dyDescent="0.35">
      <c r="B1486" s="32"/>
      <c r="C1486" s="35"/>
      <c r="D1486" s="35"/>
      <c r="E1486" s="35"/>
      <c r="F1486" s="35"/>
      <c r="G1486" s="35"/>
      <c r="H1486" s="35"/>
      <c r="I1486" s="35"/>
      <c r="J1486" s="35"/>
      <c r="K1486" s="35"/>
      <c r="L1486" s="35"/>
      <c r="M1486" s="35"/>
    </row>
    <row r="1487" spans="2:13" x14ac:dyDescent="0.35">
      <c r="B1487" s="32"/>
      <c r="C1487" s="35"/>
      <c r="D1487" s="35"/>
      <c r="E1487" s="35"/>
      <c r="F1487" s="35"/>
      <c r="G1487" s="35"/>
      <c r="H1487" s="35"/>
      <c r="I1487" s="35"/>
      <c r="J1487" s="35"/>
      <c r="K1487" s="35"/>
      <c r="L1487" s="35"/>
      <c r="M1487" s="35"/>
    </row>
    <row r="1488" spans="2:13" x14ac:dyDescent="0.35">
      <c r="B1488" s="32"/>
      <c r="C1488" s="35"/>
      <c r="D1488" s="35"/>
      <c r="E1488" s="35"/>
      <c r="F1488" s="35"/>
      <c r="G1488" s="35"/>
      <c r="H1488" s="35"/>
      <c r="I1488" s="35"/>
      <c r="J1488" s="35"/>
      <c r="K1488" s="35"/>
      <c r="L1488" s="35"/>
      <c r="M1488" s="35"/>
    </row>
    <row r="1489" spans="2:13" x14ac:dyDescent="0.35">
      <c r="B1489" s="32"/>
      <c r="C1489" s="35"/>
      <c r="D1489" s="35"/>
      <c r="E1489" s="35"/>
      <c r="F1489" s="35"/>
      <c r="G1489" s="35"/>
      <c r="H1489" s="35"/>
      <c r="I1489" s="35"/>
      <c r="J1489" s="35"/>
      <c r="K1489" s="35"/>
      <c r="L1489" s="35"/>
      <c r="M1489" s="35"/>
    </row>
    <row r="1490" spans="2:13" x14ac:dyDescent="0.35">
      <c r="B1490" s="32"/>
      <c r="C1490" s="35"/>
      <c r="D1490" s="35"/>
      <c r="E1490" s="35"/>
      <c r="F1490" s="35"/>
      <c r="G1490" s="35"/>
      <c r="H1490" s="35"/>
      <c r="I1490" s="35"/>
      <c r="J1490" s="35"/>
      <c r="K1490" s="35"/>
      <c r="L1490" s="35"/>
      <c r="M1490" s="35"/>
    </row>
    <row r="1491" spans="2:13" x14ac:dyDescent="0.35">
      <c r="B1491" s="32"/>
      <c r="C1491" s="35"/>
      <c r="D1491" s="35"/>
      <c r="E1491" s="35"/>
      <c r="F1491" s="35"/>
      <c r="G1491" s="35"/>
      <c r="H1491" s="35"/>
      <c r="I1491" s="35"/>
      <c r="J1491" s="35"/>
      <c r="K1491" s="35"/>
      <c r="L1491" s="35"/>
      <c r="M1491" s="35"/>
    </row>
    <row r="1492" spans="2:13" x14ac:dyDescent="0.35">
      <c r="B1492" s="32"/>
      <c r="C1492" s="35"/>
      <c r="D1492" s="35"/>
      <c r="E1492" s="35"/>
      <c r="F1492" s="35"/>
      <c r="G1492" s="35"/>
      <c r="H1492" s="35"/>
      <c r="I1492" s="35"/>
      <c r="J1492" s="35"/>
      <c r="K1492" s="35"/>
      <c r="L1492" s="35"/>
      <c r="M1492" s="35"/>
    </row>
    <row r="1493" spans="2:13" x14ac:dyDescent="0.35">
      <c r="B1493" s="32"/>
      <c r="C1493" s="35"/>
      <c r="D1493" s="35"/>
      <c r="E1493" s="35"/>
      <c r="F1493" s="35"/>
      <c r="G1493" s="35"/>
      <c r="H1493" s="35"/>
      <c r="I1493" s="35"/>
      <c r="J1493" s="35"/>
      <c r="K1493" s="35"/>
      <c r="L1493" s="35"/>
      <c r="M1493" s="35"/>
    </row>
    <row r="1494" spans="2:13" x14ac:dyDescent="0.35">
      <c r="B1494" s="32"/>
      <c r="C1494" s="35"/>
      <c r="D1494" s="35"/>
      <c r="E1494" s="35"/>
      <c r="F1494" s="35"/>
      <c r="G1494" s="35"/>
      <c r="H1494" s="35"/>
      <c r="I1494" s="35"/>
      <c r="J1494" s="35"/>
      <c r="K1494" s="35"/>
      <c r="L1494" s="35"/>
      <c r="M1494" s="35"/>
    </row>
    <row r="1495" spans="2:13" x14ac:dyDescent="0.35">
      <c r="B1495" s="32"/>
      <c r="C1495" s="35"/>
      <c r="D1495" s="35"/>
      <c r="E1495" s="35"/>
      <c r="F1495" s="35"/>
      <c r="G1495" s="35"/>
      <c r="H1495" s="35"/>
      <c r="I1495" s="35"/>
      <c r="J1495" s="35"/>
      <c r="K1495" s="35"/>
      <c r="L1495" s="35"/>
      <c r="M1495" s="35"/>
    </row>
    <row r="1496" spans="2:13" x14ac:dyDescent="0.35">
      <c r="B1496" s="32"/>
      <c r="C1496" s="35"/>
      <c r="D1496" s="35"/>
      <c r="E1496" s="35"/>
      <c r="F1496" s="35"/>
      <c r="G1496" s="35"/>
      <c r="H1496" s="35"/>
      <c r="I1496" s="35"/>
      <c r="J1496" s="35"/>
      <c r="K1496" s="35"/>
      <c r="L1496" s="35"/>
      <c r="M1496" s="35"/>
    </row>
    <row r="1497" spans="2:13" x14ac:dyDescent="0.35">
      <c r="B1497" s="32"/>
      <c r="C1497" s="35"/>
      <c r="D1497" s="35"/>
      <c r="E1497" s="35"/>
      <c r="F1497" s="35"/>
      <c r="G1497" s="35"/>
      <c r="H1497" s="35"/>
      <c r="I1497" s="35"/>
      <c r="J1497" s="35"/>
      <c r="K1497" s="35"/>
      <c r="L1497" s="35"/>
      <c r="M1497" s="35"/>
    </row>
    <row r="1498" spans="2:13" x14ac:dyDescent="0.35">
      <c r="B1498" s="32"/>
      <c r="C1498" s="35"/>
      <c r="D1498" s="35"/>
      <c r="E1498" s="35"/>
      <c r="F1498" s="35"/>
      <c r="G1498" s="35"/>
      <c r="H1498" s="35"/>
      <c r="I1498" s="35"/>
      <c r="J1498" s="35"/>
      <c r="K1498" s="35"/>
      <c r="L1498" s="35"/>
      <c r="M1498" s="35"/>
    </row>
    <row r="1499" spans="2:13" x14ac:dyDescent="0.35">
      <c r="B1499" s="32"/>
      <c r="C1499" s="35"/>
      <c r="D1499" s="35"/>
      <c r="E1499" s="35"/>
      <c r="F1499" s="35"/>
      <c r="G1499" s="35"/>
      <c r="H1499" s="35"/>
      <c r="I1499" s="35"/>
      <c r="J1499" s="35"/>
      <c r="K1499" s="35"/>
      <c r="L1499" s="35"/>
      <c r="M1499" s="35"/>
    </row>
    <row r="1500" spans="2:13" x14ac:dyDescent="0.35">
      <c r="B1500" s="32"/>
      <c r="C1500" s="35"/>
      <c r="D1500" s="35"/>
      <c r="E1500" s="35"/>
      <c r="F1500" s="35"/>
      <c r="G1500" s="35"/>
      <c r="H1500" s="35"/>
      <c r="I1500" s="35"/>
      <c r="J1500" s="35"/>
      <c r="K1500" s="35"/>
      <c r="L1500" s="35"/>
      <c r="M1500" s="35"/>
    </row>
    <row r="1501" spans="2:13" x14ac:dyDescent="0.35">
      <c r="B1501" s="32"/>
      <c r="C1501" s="35"/>
      <c r="D1501" s="35"/>
      <c r="E1501" s="35"/>
      <c r="F1501" s="35"/>
      <c r="G1501" s="35"/>
      <c r="H1501" s="35"/>
      <c r="I1501" s="35"/>
      <c r="J1501" s="35"/>
      <c r="K1501" s="35"/>
      <c r="L1501" s="35"/>
      <c r="M1501" s="35"/>
    </row>
    <row r="1502" spans="2:13" x14ac:dyDescent="0.35">
      <c r="B1502" s="32"/>
      <c r="C1502" s="35"/>
      <c r="D1502" s="35"/>
      <c r="E1502" s="35"/>
      <c r="F1502" s="35"/>
      <c r="G1502" s="35"/>
      <c r="H1502" s="35"/>
      <c r="I1502" s="35"/>
      <c r="J1502" s="35"/>
      <c r="K1502" s="35"/>
      <c r="L1502" s="35"/>
      <c r="M1502" s="35"/>
    </row>
    <row r="1503" spans="2:13" x14ac:dyDescent="0.35">
      <c r="B1503" s="32"/>
      <c r="C1503" s="35"/>
      <c r="D1503" s="35"/>
      <c r="E1503" s="35"/>
      <c r="F1503" s="35"/>
      <c r="G1503" s="35"/>
      <c r="H1503" s="35"/>
      <c r="I1503" s="35"/>
      <c r="J1503" s="35"/>
      <c r="K1503" s="35"/>
      <c r="L1503" s="35"/>
      <c r="M1503" s="35"/>
    </row>
    <row r="1504" spans="2:13" x14ac:dyDescent="0.35">
      <c r="B1504" s="32"/>
      <c r="C1504" s="35"/>
      <c r="D1504" s="35"/>
      <c r="E1504" s="35"/>
      <c r="F1504" s="35"/>
      <c r="G1504" s="35"/>
      <c r="H1504" s="35"/>
      <c r="I1504" s="35"/>
      <c r="J1504" s="35"/>
      <c r="K1504" s="35"/>
      <c r="L1504" s="35"/>
      <c r="M1504" s="35"/>
    </row>
    <row r="1505" spans="2:13" x14ac:dyDescent="0.35">
      <c r="B1505" s="32"/>
      <c r="C1505" s="35"/>
      <c r="D1505" s="35"/>
      <c r="E1505" s="35"/>
      <c r="F1505" s="35"/>
      <c r="G1505" s="35"/>
      <c r="H1505" s="35"/>
      <c r="I1505" s="35"/>
      <c r="J1505" s="35"/>
      <c r="K1505" s="35"/>
      <c r="L1505" s="35"/>
      <c r="M1505" s="35"/>
    </row>
    <row r="1506" spans="2:13" x14ac:dyDescent="0.35">
      <c r="B1506" s="32"/>
      <c r="C1506" s="35"/>
      <c r="D1506" s="35"/>
      <c r="E1506" s="35"/>
      <c r="F1506" s="35"/>
      <c r="G1506" s="35"/>
      <c r="H1506" s="35"/>
      <c r="I1506" s="35"/>
      <c r="J1506" s="35"/>
      <c r="K1506" s="35"/>
      <c r="L1506" s="35"/>
      <c r="M1506" s="35"/>
    </row>
    <row r="1507" spans="2:13" x14ac:dyDescent="0.35">
      <c r="B1507" s="32"/>
      <c r="C1507" s="35"/>
      <c r="D1507" s="35"/>
      <c r="E1507" s="35"/>
      <c r="F1507" s="35"/>
      <c r="G1507" s="35"/>
      <c r="H1507" s="35"/>
      <c r="I1507" s="35"/>
      <c r="J1507" s="35"/>
      <c r="K1507" s="35"/>
      <c r="L1507" s="35"/>
      <c r="M1507" s="35"/>
    </row>
    <row r="1508" spans="2:13" x14ac:dyDescent="0.35">
      <c r="B1508" s="32"/>
      <c r="C1508" s="35"/>
      <c r="D1508" s="35"/>
      <c r="E1508" s="35"/>
      <c r="F1508" s="35"/>
      <c r="G1508" s="35"/>
      <c r="H1508" s="35"/>
      <c r="I1508" s="35"/>
      <c r="J1508" s="35"/>
      <c r="K1508" s="35"/>
      <c r="L1508" s="35"/>
      <c r="M1508" s="35"/>
    </row>
    <row r="1509" spans="2:13" x14ac:dyDescent="0.35">
      <c r="B1509" s="32"/>
      <c r="C1509" s="35"/>
      <c r="D1509" s="35"/>
      <c r="E1509" s="35"/>
      <c r="F1509" s="35"/>
      <c r="G1509" s="35"/>
      <c r="H1509" s="35"/>
      <c r="I1509" s="35"/>
      <c r="J1509" s="35"/>
      <c r="K1509" s="35"/>
      <c r="L1509" s="35"/>
      <c r="M1509" s="35"/>
    </row>
    <row r="1510" spans="2:13" x14ac:dyDescent="0.35">
      <c r="B1510" s="32"/>
      <c r="C1510" s="35"/>
      <c r="D1510" s="35"/>
      <c r="E1510" s="35"/>
      <c r="F1510" s="35"/>
      <c r="G1510" s="35"/>
      <c r="H1510" s="35"/>
      <c r="I1510" s="35"/>
      <c r="J1510" s="35"/>
      <c r="K1510" s="35"/>
      <c r="L1510" s="35"/>
      <c r="M1510" s="35"/>
    </row>
    <row r="1511" spans="2:13" x14ac:dyDescent="0.35">
      <c r="B1511" s="32"/>
      <c r="C1511" s="35"/>
      <c r="D1511" s="35"/>
      <c r="E1511" s="35"/>
      <c r="F1511" s="35"/>
      <c r="G1511" s="35"/>
      <c r="H1511" s="35"/>
      <c r="I1511" s="35"/>
      <c r="J1511" s="35"/>
      <c r="K1511" s="35"/>
      <c r="L1511" s="35"/>
      <c r="M1511" s="35"/>
    </row>
    <row r="1512" spans="2:13" x14ac:dyDescent="0.35">
      <c r="B1512" s="32"/>
      <c r="C1512" s="35"/>
      <c r="D1512" s="35"/>
      <c r="E1512" s="35"/>
      <c r="F1512" s="35"/>
      <c r="G1512" s="35"/>
      <c r="H1512" s="35"/>
      <c r="I1512" s="35"/>
      <c r="J1512" s="35"/>
      <c r="K1512" s="35"/>
      <c r="L1512" s="35"/>
      <c r="M1512" s="35"/>
    </row>
    <row r="1513" spans="2:13" x14ac:dyDescent="0.35">
      <c r="B1513" s="32"/>
      <c r="C1513" s="35"/>
      <c r="D1513" s="35"/>
      <c r="E1513" s="35"/>
      <c r="F1513" s="35"/>
      <c r="G1513" s="35"/>
      <c r="H1513" s="35"/>
      <c r="I1513" s="35"/>
      <c r="J1513" s="35"/>
      <c r="K1513" s="35"/>
      <c r="L1513" s="35"/>
      <c r="M1513" s="35"/>
    </row>
    <row r="1514" spans="2:13" x14ac:dyDescent="0.35">
      <c r="B1514" s="32"/>
      <c r="C1514" s="35"/>
      <c r="D1514" s="35"/>
      <c r="E1514" s="35"/>
      <c r="F1514" s="35"/>
      <c r="G1514" s="35"/>
      <c r="H1514" s="35"/>
      <c r="I1514" s="35"/>
      <c r="J1514" s="35"/>
      <c r="K1514" s="35"/>
      <c r="L1514" s="35"/>
      <c r="M1514" s="35"/>
    </row>
    <row r="1515" spans="2:13" x14ac:dyDescent="0.35">
      <c r="B1515" s="32"/>
      <c r="C1515" s="35"/>
      <c r="D1515" s="35"/>
      <c r="E1515" s="35"/>
      <c r="F1515" s="35"/>
      <c r="G1515" s="35"/>
      <c r="H1515" s="35"/>
      <c r="I1515" s="35"/>
      <c r="J1515" s="35"/>
      <c r="K1515" s="35"/>
      <c r="L1515" s="35"/>
      <c r="M1515" s="35"/>
    </row>
    <row r="1516" spans="2:13" x14ac:dyDescent="0.35">
      <c r="B1516" s="32"/>
      <c r="C1516" s="35"/>
      <c r="D1516" s="35"/>
      <c r="E1516" s="35"/>
      <c r="F1516" s="35"/>
      <c r="G1516" s="35"/>
      <c r="H1516" s="35"/>
      <c r="I1516" s="35"/>
      <c r="J1516" s="35"/>
      <c r="K1516" s="35"/>
      <c r="L1516" s="35"/>
      <c r="M1516" s="35"/>
    </row>
    <row r="1517" spans="2:13" x14ac:dyDescent="0.35">
      <c r="B1517" s="32"/>
      <c r="C1517" s="35"/>
      <c r="D1517" s="35"/>
      <c r="E1517" s="35"/>
      <c r="F1517" s="35"/>
      <c r="G1517" s="35"/>
      <c r="H1517" s="35"/>
      <c r="I1517" s="35"/>
      <c r="J1517" s="35"/>
      <c r="K1517" s="35"/>
      <c r="L1517" s="35"/>
      <c r="M1517" s="35"/>
    </row>
    <row r="1518" spans="2:13" x14ac:dyDescent="0.35">
      <c r="B1518" s="32"/>
      <c r="C1518" s="35"/>
      <c r="D1518" s="35"/>
      <c r="E1518" s="35"/>
      <c r="F1518" s="35"/>
      <c r="G1518" s="35"/>
      <c r="H1518" s="35"/>
      <c r="I1518" s="35"/>
      <c r="J1518" s="35"/>
      <c r="K1518" s="35"/>
      <c r="L1518" s="35"/>
      <c r="M1518" s="35"/>
    </row>
    <row r="1519" spans="2:13" x14ac:dyDescent="0.35">
      <c r="B1519" s="32"/>
      <c r="C1519" s="35"/>
      <c r="D1519" s="35"/>
      <c r="E1519" s="35"/>
      <c r="F1519" s="35"/>
      <c r="G1519" s="35"/>
      <c r="H1519" s="35"/>
      <c r="I1519" s="35"/>
      <c r="J1519" s="35"/>
      <c r="K1519" s="35"/>
      <c r="L1519" s="35"/>
      <c r="M1519" s="35"/>
    </row>
    <row r="1520" spans="2:13" x14ac:dyDescent="0.35">
      <c r="B1520" s="32"/>
      <c r="C1520" s="35"/>
      <c r="D1520" s="35"/>
      <c r="E1520" s="35"/>
      <c r="F1520" s="35"/>
      <c r="G1520" s="35"/>
      <c r="H1520" s="35"/>
      <c r="I1520" s="35"/>
      <c r="J1520" s="35"/>
      <c r="K1520" s="35"/>
      <c r="L1520" s="35"/>
      <c r="M1520" s="35"/>
    </row>
    <row r="1521" spans="2:13" x14ac:dyDescent="0.35">
      <c r="B1521" s="32"/>
      <c r="C1521" s="35"/>
      <c r="D1521" s="35"/>
      <c r="E1521" s="35"/>
      <c r="F1521" s="35"/>
      <c r="G1521" s="35"/>
      <c r="H1521" s="35"/>
      <c r="I1521" s="35"/>
      <c r="J1521" s="35"/>
      <c r="K1521" s="35"/>
      <c r="L1521" s="35"/>
      <c r="M1521" s="35"/>
    </row>
    <row r="1522" spans="2:13" x14ac:dyDescent="0.35">
      <c r="B1522" s="32"/>
      <c r="C1522" s="35"/>
      <c r="D1522" s="35"/>
      <c r="E1522" s="35"/>
      <c r="F1522" s="35"/>
      <c r="G1522" s="35"/>
      <c r="H1522" s="35"/>
      <c r="I1522" s="35"/>
      <c r="J1522" s="35"/>
      <c r="K1522" s="35"/>
      <c r="L1522" s="35"/>
      <c r="M1522" s="35"/>
    </row>
    <row r="1523" spans="2:13" x14ac:dyDescent="0.35">
      <c r="B1523" s="32"/>
      <c r="C1523" s="35"/>
      <c r="D1523" s="35"/>
      <c r="E1523" s="35"/>
      <c r="F1523" s="35"/>
      <c r="G1523" s="35"/>
      <c r="H1523" s="35"/>
      <c r="I1523" s="35"/>
      <c r="J1523" s="35"/>
      <c r="K1523" s="35"/>
      <c r="L1523" s="35"/>
      <c r="M1523" s="35"/>
    </row>
    <row r="1524" spans="2:13" x14ac:dyDescent="0.35">
      <c r="B1524" s="32"/>
      <c r="C1524" s="35"/>
      <c r="D1524" s="35"/>
      <c r="E1524" s="35"/>
      <c r="F1524" s="35"/>
      <c r="G1524" s="35"/>
      <c r="H1524" s="35"/>
      <c r="I1524" s="35"/>
      <c r="J1524" s="35"/>
      <c r="K1524" s="35"/>
      <c r="L1524" s="35"/>
      <c r="M1524" s="35"/>
    </row>
    <row r="1525" spans="2:13" x14ac:dyDescent="0.35">
      <c r="B1525" s="32"/>
      <c r="C1525" s="35"/>
      <c r="D1525" s="35"/>
      <c r="E1525" s="35"/>
      <c r="F1525" s="35"/>
      <c r="G1525" s="35"/>
      <c r="H1525" s="35"/>
      <c r="I1525" s="35"/>
      <c r="J1525" s="35"/>
      <c r="K1525" s="35"/>
      <c r="L1525" s="35"/>
      <c r="M1525" s="35"/>
    </row>
    <row r="1526" spans="2:13" x14ac:dyDescent="0.35">
      <c r="B1526" s="32"/>
      <c r="C1526" s="35"/>
      <c r="D1526" s="35"/>
      <c r="E1526" s="35"/>
      <c r="F1526" s="35"/>
      <c r="G1526" s="35"/>
      <c r="H1526" s="35"/>
      <c r="I1526" s="35"/>
      <c r="J1526" s="35"/>
      <c r="K1526" s="35"/>
      <c r="L1526" s="35"/>
      <c r="M1526" s="35"/>
    </row>
    <row r="1527" spans="2:13" x14ac:dyDescent="0.35">
      <c r="B1527" s="32"/>
      <c r="C1527" s="35"/>
      <c r="D1527" s="35"/>
      <c r="E1527" s="35"/>
      <c r="F1527" s="35"/>
      <c r="G1527" s="35"/>
      <c r="H1527" s="35"/>
      <c r="I1527" s="35"/>
      <c r="J1527" s="35"/>
      <c r="K1527" s="35"/>
      <c r="L1527" s="35"/>
      <c r="M1527" s="35"/>
    </row>
    <row r="1528" spans="2:13" x14ac:dyDescent="0.35">
      <c r="B1528" s="32"/>
      <c r="C1528" s="35"/>
      <c r="D1528" s="35"/>
      <c r="E1528" s="35"/>
      <c r="F1528" s="35"/>
      <c r="G1528" s="35"/>
      <c r="H1528" s="35"/>
      <c r="I1528" s="35"/>
      <c r="J1528" s="35"/>
      <c r="K1528" s="35"/>
      <c r="L1528" s="35"/>
      <c r="M1528" s="35"/>
    </row>
    <row r="1529" spans="2:13" x14ac:dyDescent="0.35">
      <c r="B1529" s="32"/>
      <c r="C1529" s="35"/>
      <c r="D1529" s="35"/>
      <c r="E1529" s="35"/>
      <c r="F1529" s="35"/>
      <c r="G1529" s="35"/>
      <c r="H1529" s="35"/>
      <c r="I1529" s="35"/>
      <c r="J1529" s="35"/>
      <c r="K1529" s="35"/>
      <c r="L1529" s="35"/>
      <c r="M1529" s="35"/>
    </row>
    <row r="1530" spans="2:13" x14ac:dyDescent="0.35">
      <c r="B1530" s="32"/>
      <c r="C1530" s="35"/>
      <c r="D1530" s="35"/>
      <c r="E1530" s="35"/>
      <c r="F1530" s="35"/>
      <c r="G1530" s="35"/>
      <c r="H1530" s="35"/>
      <c r="I1530" s="35"/>
      <c r="J1530" s="35"/>
      <c r="K1530" s="35"/>
      <c r="L1530" s="35"/>
      <c r="M1530" s="35"/>
    </row>
    <row r="1531" spans="2:13" x14ac:dyDescent="0.35">
      <c r="B1531" s="32"/>
      <c r="C1531" s="35"/>
      <c r="D1531" s="35"/>
      <c r="E1531" s="35"/>
      <c r="F1531" s="35"/>
      <c r="G1531" s="35"/>
      <c r="H1531" s="35"/>
      <c r="I1531" s="35"/>
      <c r="J1531" s="35"/>
      <c r="K1531" s="35"/>
      <c r="L1531" s="35"/>
      <c r="M1531" s="35"/>
    </row>
    <row r="1532" spans="2:13" x14ac:dyDescent="0.35">
      <c r="B1532" s="32"/>
      <c r="C1532" s="35"/>
      <c r="D1532" s="35"/>
      <c r="E1532" s="35"/>
      <c r="F1532" s="35"/>
      <c r="G1532" s="35"/>
      <c r="H1532" s="35"/>
      <c r="I1532" s="35"/>
      <c r="J1532" s="35"/>
      <c r="K1532" s="35"/>
      <c r="L1532" s="35"/>
      <c r="M1532" s="35"/>
    </row>
    <row r="1533" spans="2:13" x14ac:dyDescent="0.35">
      <c r="B1533" s="32"/>
      <c r="C1533" s="35"/>
      <c r="D1533" s="35"/>
      <c r="E1533" s="35"/>
      <c r="F1533" s="35"/>
      <c r="G1533" s="35"/>
      <c r="H1533" s="35"/>
      <c r="I1533" s="35"/>
      <c r="J1533" s="35"/>
      <c r="K1533" s="35"/>
      <c r="L1533" s="35"/>
      <c r="M1533" s="35"/>
    </row>
    <row r="1534" spans="2:13" x14ac:dyDescent="0.35">
      <c r="B1534" s="32"/>
      <c r="C1534" s="35"/>
      <c r="D1534" s="35"/>
      <c r="E1534" s="35"/>
      <c r="F1534" s="35"/>
      <c r="G1534" s="35"/>
      <c r="H1534" s="35"/>
      <c r="I1534" s="35"/>
      <c r="J1534" s="35"/>
      <c r="K1534" s="35"/>
      <c r="L1534" s="35"/>
      <c r="M1534" s="35"/>
    </row>
    <row r="1535" spans="2:13" x14ac:dyDescent="0.35">
      <c r="B1535" s="32"/>
      <c r="C1535" s="35"/>
      <c r="D1535" s="35"/>
      <c r="E1535" s="35"/>
      <c r="F1535" s="35"/>
      <c r="G1535" s="35"/>
      <c r="H1535" s="35"/>
      <c r="I1535" s="35"/>
      <c r="J1535" s="35"/>
      <c r="K1535" s="35"/>
      <c r="L1535" s="35"/>
      <c r="M1535" s="35"/>
    </row>
    <row r="1536" spans="2:13" x14ac:dyDescent="0.35">
      <c r="B1536" s="32"/>
      <c r="C1536" s="35"/>
      <c r="D1536" s="35"/>
      <c r="E1536" s="35"/>
      <c r="F1536" s="35"/>
      <c r="G1536" s="35"/>
      <c r="H1536" s="35"/>
      <c r="I1536" s="35"/>
      <c r="J1536" s="35"/>
      <c r="K1536" s="35"/>
      <c r="L1536" s="35"/>
      <c r="M1536" s="35"/>
    </row>
    <row r="1537" spans="2:13" x14ac:dyDescent="0.35">
      <c r="B1537" s="32"/>
      <c r="C1537" s="35"/>
      <c r="D1537" s="35"/>
      <c r="E1537" s="35"/>
      <c r="F1537" s="35"/>
      <c r="G1537" s="35"/>
      <c r="H1537" s="35"/>
      <c r="I1537" s="35"/>
      <c r="J1537" s="35"/>
      <c r="K1537" s="35"/>
      <c r="L1537" s="35"/>
      <c r="M1537" s="35"/>
    </row>
    <row r="1538" spans="2:13" x14ac:dyDescent="0.35">
      <c r="B1538" s="32"/>
      <c r="C1538" s="35"/>
      <c r="D1538" s="35"/>
      <c r="E1538" s="35"/>
      <c r="F1538" s="35"/>
      <c r="G1538" s="35"/>
      <c r="H1538" s="35"/>
      <c r="I1538" s="35"/>
      <c r="J1538" s="35"/>
      <c r="K1538" s="35"/>
      <c r="L1538" s="35"/>
      <c r="M1538" s="35"/>
    </row>
    <row r="1539" spans="2:13" x14ac:dyDescent="0.35">
      <c r="B1539" s="32"/>
      <c r="C1539" s="35"/>
      <c r="D1539" s="35"/>
      <c r="E1539" s="35"/>
      <c r="F1539" s="35"/>
      <c r="G1539" s="35"/>
      <c r="H1539" s="35"/>
      <c r="I1539" s="35"/>
      <c r="J1539" s="35"/>
      <c r="K1539" s="35"/>
      <c r="L1539" s="35"/>
      <c r="M1539" s="35"/>
    </row>
    <row r="1540" spans="2:13" x14ac:dyDescent="0.35">
      <c r="B1540" s="32"/>
      <c r="C1540" s="35"/>
      <c r="D1540" s="35"/>
      <c r="E1540" s="35"/>
      <c r="F1540" s="35"/>
      <c r="G1540" s="35"/>
      <c r="H1540" s="35"/>
      <c r="I1540" s="35"/>
      <c r="J1540" s="35"/>
      <c r="K1540" s="35"/>
      <c r="L1540" s="35"/>
      <c r="M1540" s="35"/>
    </row>
    <row r="1541" spans="2:13" x14ac:dyDescent="0.35">
      <c r="B1541" s="32"/>
      <c r="C1541" s="35"/>
      <c r="D1541" s="35"/>
      <c r="E1541" s="35"/>
      <c r="F1541" s="35"/>
      <c r="G1541" s="35"/>
      <c r="H1541" s="35"/>
      <c r="I1541" s="35"/>
      <c r="J1541" s="35"/>
      <c r="K1541" s="35"/>
      <c r="L1541" s="35"/>
      <c r="M1541" s="35"/>
    </row>
    <row r="1542" spans="2:13" x14ac:dyDescent="0.35">
      <c r="B1542" s="32"/>
      <c r="C1542" s="35"/>
      <c r="D1542" s="35"/>
      <c r="E1542" s="35"/>
      <c r="F1542" s="35"/>
      <c r="G1542" s="35"/>
      <c r="H1542" s="35"/>
      <c r="I1542" s="35"/>
      <c r="J1542" s="35"/>
      <c r="K1542" s="35"/>
      <c r="L1542" s="35"/>
      <c r="M1542" s="35"/>
    </row>
    <row r="1543" spans="2:13" x14ac:dyDescent="0.35">
      <c r="B1543" s="32"/>
      <c r="C1543" s="35"/>
      <c r="D1543" s="35"/>
      <c r="E1543" s="35"/>
      <c r="F1543" s="35"/>
      <c r="G1543" s="35"/>
      <c r="H1543" s="35"/>
      <c r="I1543" s="35"/>
      <c r="J1543" s="35"/>
      <c r="K1543" s="35"/>
      <c r="L1543" s="35"/>
      <c r="M1543" s="35"/>
    </row>
    <row r="1544" spans="2:13" x14ac:dyDescent="0.35">
      <c r="B1544" s="32"/>
      <c r="C1544" s="35"/>
      <c r="D1544" s="35"/>
      <c r="E1544" s="35"/>
      <c r="F1544" s="35"/>
      <c r="G1544" s="35"/>
      <c r="H1544" s="35"/>
      <c r="I1544" s="35"/>
      <c r="J1544" s="35"/>
      <c r="K1544" s="35"/>
      <c r="L1544" s="35"/>
      <c r="M1544" s="35"/>
    </row>
    <row r="1545" spans="2:13" x14ac:dyDescent="0.35">
      <c r="B1545" s="32"/>
      <c r="C1545" s="35"/>
      <c r="D1545" s="35"/>
      <c r="E1545" s="35"/>
      <c r="F1545" s="35"/>
      <c r="G1545" s="35"/>
      <c r="H1545" s="35"/>
      <c r="I1545" s="35"/>
      <c r="J1545" s="35"/>
      <c r="K1545" s="35"/>
      <c r="L1545" s="35"/>
      <c r="M1545" s="35"/>
    </row>
    <row r="1546" spans="2:13" x14ac:dyDescent="0.35">
      <c r="B1546" s="32"/>
      <c r="C1546" s="35"/>
      <c r="D1546" s="35"/>
      <c r="E1546" s="35"/>
      <c r="F1546" s="35"/>
      <c r="G1546" s="35"/>
      <c r="H1546" s="35"/>
      <c r="I1546" s="35"/>
      <c r="J1546" s="35"/>
      <c r="K1546" s="35"/>
      <c r="L1546" s="35"/>
      <c r="M1546" s="35"/>
    </row>
    <row r="1547" spans="2:13" x14ac:dyDescent="0.35">
      <c r="B1547" s="32"/>
      <c r="C1547" s="35"/>
      <c r="D1547" s="35"/>
      <c r="E1547" s="35"/>
      <c r="F1547" s="35"/>
      <c r="G1547" s="35"/>
      <c r="H1547" s="35"/>
      <c r="I1547" s="35"/>
      <c r="J1547" s="35"/>
      <c r="K1547" s="35"/>
      <c r="L1547" s="35"/>
      <c r="M1547" s="35"/>
    </row>
    <row r="1548" spans="2:13" x14ac:dyDescent="0.35">
      <c r="B1548" s="32"/>
      <c r="C1548" s="35"/>
      <c r="D1548" s="35"/>
      <c r="E1548" s="35"/>
      <c r="F1548" s="35"/>
      <c r="G1548" s="35"/>
      <c r="H1548" s="35"/>
      <c r="I1548" s="35"/>
      <c r="J1548" s="35"/>
      <c r="K1548" s="35"/>
      <c r="L1548" s="35"/>
      <c r="M1548" s="35"/>
    </row>
    <row r="1549" spans="2:13" x14ac:dyDescent="0.35">
      <c r="B1549" s="32"/>
      <c r="C1549" s="35"/>
      <c r="D1549" s="35"/>
      <c r="E1549" s="35"/>
      <c r="F1549" s="35"/>
      <c r="G1549" s="35"/>
      <c r="H1549" s="35"/>
      <c r="I1549" s="35"/>
      <c r="J1549" s="35"/>
      <c r="K1549" s="35"/>
      <c r="L1549" s="35"/>
      <c r="M1549" s="35"/>
    </row>
    <row r="1550" spans="2:13" x14ac:dyDescent="0.35">
      <c r="B1550" s="32"/>
      <c r="C1550" s="35"/>
      <c r="D1550" s="35"/>
      <c r="E1550" s="35"/>
      <c r="F1550" s="35"/>
      <c r="G1550" s="35"/>
      <c r="H1550" s="35"/>
      <c r="I1550" s="35"/>
      <c r="J1550" s="35"/>
      <c r="K1550" s="35"/>
      <c r="L1550" s="35"/>
      <c r="M1550" s="35"/>
    </row>
    <row r="1551" spans="2:13" x14ac:dyDescent="0.35">
      <c r="B1551" s="32"/>
      <c r="C1551" s="35"/>
      <c r="D1551" s="35"/>
      <c r="E1551" s="35"/>
      <c r="F1551" s="35"/>
      <c r="G1551" s="35"/>
      <c r="H1551" s="35"/>
      <c r="I1551" s="35"/>
      <c r="J1551" s="35"/>
      <c r="K1551" s="35"/>
      <c r="L1551" s="35"/>
      <c r="M1551" s="35"/>
    </row>
    <row r="1552" spans="2:13" x14ac:dyDescent="0.35">
      <c r="B1552" s="32"/>
      <c r="C1552" s="35"/>
      <c r="D1552" s="35"/>
      <c r="E1552" s="35"/>
      <c r="F1552" s="35"/>
      <c r="G1552" s="35"/>
      <c r="H1552" s="35"/>
      <c r="I1552" s="35"/>
      <c r="J1552" s="35"/>
      <c r="K1552" s="35"/>
      <c r="L1552" s="35"/>
      <c r="M1552" s="35"/>
    </row>
    <row r="1553" spans="2:13" x14ac:dyDescent="0.35">
      <c r="B1553" s="32"/>
      <c r="C1553" s="35"/>
      <c r="D1553" s="35"/>
      <c r="E1553" s="35"/>
      <c r="F1553" s="35"/>
      <c r="G1553" s="35"/>
      <c r="H1553" s="35"/>
      <c r="I1553" s="35"/>
      <c r="J1553" s="35"/>
      <c r="K1553" s="35"/>
      <c r="L1553" s="35"/>
      <c r="M1553" s="35"/>
    </row>
    <row r="1554" spans="2:13" x14ac:dyDescent="0.35">
      <c r="B1554" s="32"/>
      <c r="C1554" s="35"/>
      <c r="D1554" s="35"/>
      <c r="E1554" s="35"/>
      <c r="F1554" s="35"/>
      <c r="G1554" s="35"/>
      <c r="H1554" s="35"/>
      <c r="I1554" s="35"/>
      <c r="J1554" s="35"/>
      <c r="K1554" s="35"/>
      <c r="L1554" s="35"/>
      <c r="M1554" s="35"/>
    </row>
    <row r="1555" spans="2:13" x14ac:dyDescent="0.35">
      <c r="B1555" s="32"/>
      <c r="C1555" s="35"/>
      <c r="D1555" s="35"/>
      <c r="E1555" s="35"/>
      <c r="F1555" s="35"/>
      <c r="G1555" s="35"/>
      <c r="H1555" s="35"/>
      <c r="I1555" s="35"/>
      <c r="J1555" s="35"/>
      <c r="K1555" s="35"/>
      <c r="L1555" s="35"/>
      <c r="M1555" s="35"/>
    </row>
    <row r="1556" spans="2:13" x14ac:dyDescent="0.35">
      <c r="B1556" s="32"/>
      <c r="C1556" s="35"/>
      <c r="D1556" s="35"/>
      <c r="E1556" s="35"/>
      <c r="F1556" s="35"/>
      <c r="G1556" s="35"/>
      <c r="H1556" s="35"/>
      <c r="I1556" s="35"/>
      <c r="J1556" s="35"/>
      <c r="K1556" s="35"/>
      <c r="L1556" s="35"/>
      <c r="M1556" s="35"/>
    </row>
    <row r="1557" spans="2:13" x14ac:dyDescent="0.35">
      <c r="B1557" s="32"/>
      <c r="C1557" s="35"/>
      <c r="D1557" s="35"/>
      <c r="E1557" s="35"/>
      <c r="F1557" s="35"/>
      <c r="G1557" s="35"/>
      <c r="H1557" s="35"/>
      <c r="I1557" s="35"/>
      <c r="J1557" s="35"/>
      <c r="K1557" s="35"/>
      <c r="L1557" s="35"/>
      <c r="M1557" s="35"/>
    </row>
    <row r="1558" spans="2:13" x14ac:dyDescent="0.35">
      <c r="B1558" s="32"/>
      <c r="C1558" s="35"/>
      <c r="D1558" s="35"/>
      <c r="E1558" s="35"/>
      <c r="F1558" s="35"/>
      <c r="G1558" s="35"/>
      <c r="H1558" s="35"/>
      <c r="I1558" s="35"/>
      <c r="J1558" s="35"/>
      <c r="K1558" s="35"/>
      <c r="L1558" s="35"/>
      <c r="M1558" s="35"/>
    </row>
    <row r="1559" spans="2:13" x14ac:dyDescent="0.35">
      <c r="B1559" s="32"/>
      <c r="C1559" s="35"/>
      <c r="D1559" s="35"/>
      <c r="E1559" s="35"/>
      <c r="F1559" s="35"/>
      <c r="G1559" s="35"/>
      <c r="H1559" s="35"/>
      <c r="I1559" s="35"/>
      <c r="J1559" s="35"/>
      <c r="K1559" s="35"/>
      <c r="L1559" s="35"/>
      <c r="M1559" s="35"/>
    </row>
    <row r="1560" spans="2:13" x14ac:dyDescent="0.35">
      <c r="B1560" s="32"/>
      <c r="C1560" s="35"/>
      <c r="D1560" s="35"/>
      <c r="E1560" s="35"/>
      <c r="F1560" s="35"/>
      <c r="G1560" s="35"/>
      <c r="H1560" s="35"/>
      <c r="I1560" s="35"/>
      <c r="J1560" s="35"/>
      <c r="K1560" s="35"/>
      <c r="L1560" s="35"/>
      <c r="M1560" s="35"/>
    </row>
    <row r="1561" spans="2:13" x14ac:dyDescent="0.35">
      <c r="B1561" s="32"/>
      <c r="C1561" s="35"/>
      <c r="D1561" s="35"/>
      <c r="E1561" s="35"/>
      <c r="F1561" s="35"/>
      <c r="G1561" s="35"/>
      <c r="H1561" s="35"/>
      <c r="I1561" s="35"/>
      <c r="J1561" s="35"/>
      <c r="K1561" s="35"/>
      <c r="L1561" s="35"/>
      <c r="M1561" s="35"/>
    </row>
    <row r="1562" spans="2:13" x14ac:dyDescent="0.35">
      <c r="B1562" s="32"/>
      <c r="C1562" s="35"/>
      <c r="D1562" s="35"/>
      <c r="E1562" s="35"/>
      <c r="F1562" s="35"/>
      <c r="G1562" s="35"/>
      <c r="H1562" s="35"/>
      <c r="I1562" s="35"/>
      <c r="J1562" s="35"/>
      <c r="K1562" s="35"/>
      <c r="L1562" s="35"/>
      <c r="M1562" s="35"/>
    </row>
    <row r="1563" spans="2:13" x14ac:dyDescent="0.35">
      <c r="B1563" s="32"/>
      <c r="C1563" s="35"/>
      <c r="D1563" s="35"/>
      <c r="E1563" s="35"/>
      <c r="F1563" s="35"/>
      <c r="G1563" s="35"/>
      <c r="H1563" s="35"/>
      <c r="I1563" s="35"/>
      <c r="J1563" s="35"/>
      <c r="K1563" s="35"/>
      <c r="L1563" s="35"/>
      <c r="M1563" s="35"/>
    </row>
    <row r="1564" spans="2:13" x14ac:dyDescent="0.35">
      <c r="B1564" s="32"/>
      <c r="C1564" s="35"/>
      <c r="D1564" s="35"/>
      <c r="E1564" s="35"/>
      <c r="F1564" s="35"/>
      <c r="G1564" s="35"/>
      <c r="H1564" s="35"/>
      <c r="I1564" s="35"/>
      <c r="J1564" s="35"/>
      <c r="K1564" s="35"/>
      <c r="L1564" s="35"/>
      <c r="M1564" s="35"/>
    </row>
    <row r="1565" spans="2:13" x14ac:dyDescent="0.35">
      <c r="B1565" s="32"/>
      <c r="C1565" s="35"/>
      <c r="D1565" s="35"/>
      <c r="E1565" s="35"/>
      <c r="F1565" s="35"/>
      <c r="G1565" s="35"/>
      <c r="H1565" s="35"/>
      <c r="I1565" s="35"/>
      <c r="J1565" s="35"/>
      <c r="K1565" s="35"/>
      <c r="L1565" s="35"/>
      <c r="M1565" s="35"/>
    </row>
    <row r="1566" spans="2:13" x14ac:dyDescent="0.35">
      <c r="B1566" s="32"/>
      <c r="C1566" s="35"/>
      <c r="D1566" s="35"/>
      <c r="E1566" s="35"/>
      <c r="F1566" s="35"/>
      <c r="G1566" s="35"/>
      <c r="H1566" s="35"/>
      <c r="I1566" s="35"/>
      <c r="J1566" s="35"/>
      <c r="K1566" s="35"/>
      <c r="L1566" s="35"/>
      <c r="M1566" s="35"/>
    </row>
    <row r="1567" spans="2:13" x14ac:dyDescent="0.35">
      <c r="B1567" s="32"/>
      <c r="C1567" s="35"/>
      <c r="D1567" s="35"/>
      <c r="E1567" s="35"/>
      <c r="F1567" s="35"/>
      <c r="G1567" s="35"/>
      <c r="H1567" s="35"/>
      <c r="I1567" s="35"/>
      <c r="J1567" s="35"/>
      <c r="K1567" s="35"/>
      <c r="L1567" s="35"/>
      <c r="M1567" s="35"/>
    </row>
    <row r="1568" spans="2:13" x14ac:dyDescent="0.35">
      <c r="B1568" s="32"/>
      <c r="C1568" s="35"/>
      <c r="D1568" s="35"/>
      <c r="E1568" s="35"/>
      <c r="F1568" s="35"/>
      <c r="G1568" s="35"/>
      <c r="H1568" s="35"/>
      <c r="I1568" s="35"/>
      <c r="J1568" s="35"/>
      <c r="K1568" s="35"/>
      <c r="L1568" s="35"/>
      <c r="M1568" s="35"/>
    </row>
    <row r="1569" spans="2:13" x14ac:dyDescent="0.35">
      <c r="B1569" s="32"/>
      <c r="C1569" s="35"/>
      <c r="D1569" s="35"/>
      <c r="E1569" s="35"/>
      <c r="F1569" s="35"/>
      <c r="G1569" s="35"/>
      <c r="H1569" s="35"/>
      <c r="I1569" s="35"/>
      <c r="J1569" s="35"/>
      <c r="K1569" s="35"/>
      <c r="L1569" s="35"/>
      <c r="M1569" s="35"/>
    </row>
    <row r="1570" spans="2:13" x14ac:dyDescent="0.35">
      <c r="B1570" s="32"/>
      <c r="C1570" s="35"/>
      <c r="D1570" s="35"/>
      <c r="E1570" s="35"/>
      <c r="F1570" s="35"/>
      <c r="G1570" s="35"/>
      <c r="H1570" s="35"/>
      <c r="I1570" s="35"/>
      <c r="J1570" s="35"/>
      <c r="K1570" s="35"/>
      <c r="L1570" s="35"/>
      <c r="M1570" s="35"/>
    </row>
    <row r="1571" spans="2:13" x14ac:dyDescent="0.35">
      <c r="B1571" s="32"/>
      <c r="C1571" s="35"/>
      <c r="D1571" s="35"/>
      <c r="E1571" s="35"/>
      <c r="F1571" s="35"/>
      <c r="G1571" s="35"/>
      <c r="H1571" s="35"/>
      <c r="I1571" s="35"/>
      <c r="J1571" s="35"/>
      <c r="K1571" s="35"/>
      <c r="L1571" s="35"/>
      <c r="M1571" s="35"/>
    </row>
    <row r="1572" spans="2:13" x14ac:dyDescent="0.35">
      <c r="B1572" s="32"/>
      <c r="C1572" s="35"/>
      <c r="D1572" s="35"/>
      <c r="E1572" s="35"/>
      <c r="F1572" s="35"/>
      <c r="G1572" s="35"/>
      <c r="H1572" s="35"/>
      <c r="I1572" s="35"/>
      <c r="J1572" s="35"/>
      <c r="K1572" s="35"/>
      <c r="L1572" s="35"/>
      <c r="M1572" s="35"/>
    </row>
    <row r="1573" spans="2:13" x14ac:dyDescent="0.35">
      <c r="B1573" s="32"/>
      <c r="C1573" s="35"/>
      <c r="D1573" s="35"/>
      <c r="E1573" s="35"/>
      <c r="F1573" s="35"/>
      <c r="G1573" s="35"/>
      <c r="H1573" s="35"/>
      <c r="I1573" s="35"/>
      <c r="J1573" s="35"/>
      <c r="K1573" s="35"/>
      <c r="L1573" s="35"/>
      <c r="M1573" s="35"/>
    </row>
    <row r="1574" spans="2:13" x14ac:dyDescent="0.35">
      <c r="B1574" s="32"/>
      <c r="C1574" s="35"/>
      <c r="D1574" s="35"/>
      <c r="E1574" s="35"/>
      <c r="F1574" s="35"/>
      <c r="G1574" s="35"/>
      <c r="H1574" s="35"/>
      <c r="I1574" s="35"/>
      <c r="J1574" s="35"/>
      <c r="K1574" s="35"/>
      <c r="L1574" s="35"/>
      <c r="M1574" s="35"/>
    </row>
    <row r="1575" spans="2:13" x14ac:dyDescent="0.35">
      <c r="B1575" s="32"/>
      <c r="C1575" s="35"/>
      <c r="D1575" s="35"/>
      <c r="E1575" s="35"/>
      <c r="F1575" s="35"/>
      <c r="G1575" s="35"/>
      <c r="H1575" s="35"/>
      <c r="I1575" s="35"/>
      <c r="J1575" s="35"/>
      <c r="K1575" s="35"/>
      <c r="L1575" s="35"/>
      <c r="M1575" s="35"/>
    </row>
    <row r="1576" spans="2:13" x14ac:dyDescent="0.35">
      <c r="B1576" s="32"/>
      <c r="C1576" s="35"/>
      <c r="D1576" s="35"/>
      <c r="E1576" s="35"/>
      <c r="F1576" s="35"/>
      <c r="G1576" s="35"/>
      <c r="H1576" s="35"/>
      <c r="I1576" s="35"/>
      <c r="J1576" s="35"/>
      <c r="K1576" s="35"/>
      <c r="L1576" s="35"/>
      <c r="M1576" s="35"/>
    </row>
    <row r="1577" spans="2:13" x14ac:dyDescent="0.35">
      <c r="B1577" s="32"/>
      <c r="C1577" s="35"/>
      <c r="D1577" s="35"/>
      <c r="E1577" s="35"/>
      <c r="F1577" s="35"/>
      <c r="G1577" s="35"/>
      <c r="H1577" s="35"/>
      <c r="I1577" s="35"/>
      <c r="J1577" s="35"/>
      <c r="K1577" s="35"/>
      <c r="L1577" s="35"/>
      <c r="M1577" s="35"/>
    </row>
    <row r="1578" spans="2:13" x14ac:dyDescent="0.35">
      <c r="B1578" s="32"/>
      <c r="C1578" s="35"/>
      <c r="D1578" s="35"/>
      <c r="E1578" s="35"/>
      <c r="F1578" s="35"/>
      <c r="G1578" s="35"/>
      <c r="H1578" s="35"/>
      <c r="I1578" s="35"/>
      <c r="J1578" s="35"/>
      <c r="K1578" s="35"/>
      <c r="L1578" s="35"/>
      <c r="M1578" s="35"/>
    </row>
    <row r="1579" spans="2:13" x14ac:dyDescent="0.35">
      <c r="B1579" s="32"/>
      <c r="C1579" s="35"/>
      <c r="D1579" s="35"/>
      <c r="E1579" s="35"/>
      <c r="F1579" s="35"/>
      <c r="G1579" s="35"/>
      <c r="H1579" s="35"/>
      <c r="I1579" s="35"/>
      <c r="J1579" s="35"/>
      <c r="K1579" s="35"/>
      <c r="L1579" s="35"/>
      <c r="M1579" s="35"/>
    </row>
    <row r="1580" spans="2:13" x14ac:dyDescent="0.35">
      <c r="B1580" s="32"/>
      <c r="C1580" s="35"/>
      <c r="D1580" s="35"/>
      <c r="E1580" s="35"/>
      <c r="F1580" s="35"/>
      <c r="G1580" s="35"/>
      <c r="H1580" s="35"/>
      <c r="I1580" s="35"/>
      <c r="J1580" s="35"/>
      <c r="K1580" s="35"/>
      <c r="L1580" s="35"/>
      <c r="M1580" s="35"/>
    </row>
    <row r="1581" spans="2:13" x14ac:dyDescent="0.35">
      <c r="B1581" s="32"/>
      <c r="C1581" s="35"/>
      <c r="D1581" s="35"/>
      <c r="E1581" s="35"/>
      <c r="F1581" s="35"/>
      <c r="G1581" s="35"/>
      <c r="H1581" s="35"/>
      <c r="I1581" s="35"/>
      <c r="J1581" s="35"/>
      <c r="K1581" s="35"/>
      <c r="L1581" s="35"/>
      <c r="M1581" s="35"/>
    </row>
    <row r="1582" spans="2:13" x14ac:dyDescent="0.35">
      <c r="B1582" s="32"/>
      <c r="C1582" s="35"/>
      <c r="D1582" s="35"/>
      <c r="E1582" s="35"/>
      <c r="F1582" s="35"/>
      <c r="G1582" s="35"/>
      <c r="H1582" s="35"/>
      <c r="I1582" s="35"/>
      <c r="J1582" s="35"/>
      <c r="K1582" s="35"/>
      <c r="L1582" s="35"/>
      <c r="M1582" s="35"/>
    </row>
    <row r="1583" spans="2:13" x14ac:dyDescent="0.35">
      <c r="B1583" s="32"/>
      <c r="C1583" s="35"/>
      <c r="D1583" s="35"/>
      <c r="E1583" s="35"/>
      <c r="F1583" s="35"/>
      <c r="G1583" s="35"/>
      <c r="H1583" s="35"/>
      <c r="I1583" s="35"/>
      <c r="J1583" s="35"/>
      <c r="K1583" s="35"/>
      <c r="L1583" s="35"/>
      <c r="M1583" s="35"/>
    </row>
    <row r="1584" spans="2:13" x14ac:dyDescent="0.35">
      <c r="B1584" s="32"/>
      <c r="C1584" s="35"/>
      <c r="D1584" s="35"/>
      <c r="E1584" s="35"/>
      <c r="F1584" s="35"/>
      <c r="G1584" s="35"/>
      <c r="H1584" s="35"/>
      <c r="I1584" s="35"/>
      <c r="J1584" s="35"/>
      <c r="K1584" s="35"/>
      <c r="L1584" s="35"/>
      <c r="M1584" s="35"/>
    </row>
    <row r="1585" spans="2:13" x14ac:dyDescent="0.35">
      <c r="B1585" s="32"/>
      <c r="C1585" s="35"/>
      <c r="D1585" s="35"/>
      <c r="E1585" s="35"/>
      <c r="F1585" s="35"/>
      <c r="G1585" s="35"/>
      <c r="H1585" s="35"/>
      <c r="I1585" s="35"/>
      <c r="J1585" s="35"/>
      <c r="K1585" s="35"/>
      <c r="L1585" s="35"/>
      <c r="M1585" s="35"/>
    </row>
    <row r="1586" spans="2:13" x14ac:dyDescent="0.35">
      <c r="B1586" s="32"/>
      <c r="C1586" s="35"/>
      <c r="D1586" s="35"/>
      <c r="E1586" s="35"/>
      <c r="F1586" s="35"/>
      <c r="G1586" s="35"/>
      <c r="H1586" s="35"/>
      <c r="I1586" s="35"/>
      <c r="J1586" s="35"/>
      <c r="K1586" s="35"/>
      <c r="L1586" s="35"/>
      <c r="M1586" s="35"/>
    </row>
    <row r="1587" spans="2:13" x14ac:dyDescent="0.35">
      <c r="B1587" s="32"/>
      <c r="C1587" s="35"/>
      <c r="D1587" s="35"/>
      <c r="E1587" s="35"/>
      <c r="F1587" s="35"/>
      <c r="G1587" s="35"/>
      <c r="H1587" s="35"/>
      <c r="I1587" s="35"/>
      <c r="J1587" s="35"/>
      <c r="K1587" s="35"/>
      <c r="L1587" s="35"/>
      <c r="M1587" s="35"/>
    </row>
    <row r="1588" spans="2:13" x14ac:dyDescent="0.35">
      <c r="B1588" s="32"/>
      <c r="C1588" s="35"/>
      <c r="D1588" s="35"/>
      <c r="E1588" s="35"/>
      <c r="F1588" s="35"/>
      <c r="G1588" s="35"/>
      <c r="H1588" s="35"/>
      <c r="I1588" s="35"/>
      <c r="J1588" s="35"/>
      <c r="K1588" s="35"/>
      <c r="L1588" s="35"/>
      <c r="M1588" s="35"/>
    </row>
    <row r="1589" spans="2:13" x14ac:dyDescent="0.35">
      <c r="B1589" s="32"/>
      <c r="C1589" s="35"/>
      <c r="D1589" s="35"/>
      <c r="E1589" s="35"/>
      <c r="F1589" s="35"/>
      <c r="G1589" s="35"/>
      <c r="H1589" s="35"/>
      <c r="I1589" s="35"/>
      <c r="J1589" s="35"/>
      <c r="K1589" s="35"/>
      <c r="L1589" s="35"/>
      <c r="M1589" s="35"/>
    </row>
    <row r="1590" spans="2:13" x14ac:dyDescent="0.35">
      <c r="B1590" s="32"/>
      <c r="C1590" s="35"/>
      <c r="D1590" s="35"/>
      <c r="E1590" s="35"/>
      <c r="F1590" s="35"/>
      <c r="G1590" s="35"/>
      <c r="H1590" s="35"/>
      <c r="I1590" s="35"/>
      <c r="J1590" s="35"/>
      <c r="K1590" s="35"/>
      <c r="L1590" s="35"/>
      <c r="M1590" s="35"/>
    </row>
    <row r="1591" spans="2:13" x14ac:dyDescent="0.35">
      <c r="B1591" s="32"/>
      <c r="C1591" s="35"/>
      <c r="D1591" s="35"/>
      <c r="E1591" s="35"/>
      <c r="F1591" s="35"/>
      <c r="G1591" s="35"/>
      <c r="H1591" s="35"/>
      <c r="I1591" s="35"/>
      <c r="J1591" s="35"/>
      <c r="K1591" s="35"/>
      <c r="L1591" s="35"/>
      <c r="M1591" s="35"/>
    </row>
    <row r="1592" spans="2:13" x14ac:dyDescent="0.35">
      <c r="B1592" s="32"/>
      <c r="C1592" s="35"/>
      <c r="D1592" s="35"/>
      <c r="E1592" s="35"/>
      <c r="F1592" s="35"/>
      <c r="G1592" s="35"/>
      <c r="H1592" s="35"/>
      <c r="I1592" s="35"/>
      <c r="J1592" s="35"/>
      <c r="K1592" s="35"/>
      <c r="L1592" s="35"/>
      <c r="M1592" s="35"/>
    </row>
    <row r="1593" spans="2:13" x14ac:dyDescent="0.35">
      <c r="B1593" s="32"/>
      <c r="C1593" s="35"/>
      <c r="D1593" s="35"/>
      <c r="E1593" s="35"/>
      <c r="F1593" s="35"/>
      <c r="G1593" s="35"/>
      <c r="H1593" s="35"/>
      <c r="I1593" s="35"/>
      <c r="J1593" s="35"/>
      <c r="K1593" s="35"/>
      <c r="L1593" s="35"/>
      <c r="M1593" s="35"/>
    </row>
    <row r="1594" spans="2:13" x14ac:dyDescent="0.35">
      <c r="B1594" s="32"/>
      <c r="C1594" s="35"/>
      <c r="D1594" s="35"/>
      <c r="E1594" s="35"/>
      <c r="F1594" s="35"/>
      <c r="G1594" s="35"/>
      <c r="H1594" s="35"/>
      <c r="I1594" s="35"/>
      <c r="J1594" s="35"/>
      <c r="K1594" s="35"/>
      <c r="L1594" s="35"/>
      <c r="M1594" s="35"/>
    </row>
    <row r="1595" spans="2:13" x14ac:dyDescent="0.35">
      <c r="B1595" s="32"/>
      <c r="C1595" s="35"/>
      <c r="D1595" s="35"/>
      <c r="E1595" s="35"/>
      <c r="F1595" s="35"/>
      <c r="G1595" s="35"/>
      <c r="H1595" s="35"/>
      <c r="I1595" s="35"/>
      <c r="J1595" s="35"/>
      <c r="K1595" s="35"/>
      <c r="L1595" s="35"/>
      <c r="M1595" s="35"/>
    </row>
    <row r="1596" spans="2:13" x14ac:dyDescent="0.35">
      <c r="B1596" s="32"/>
      <c r="C1596" s="35"/>
      <c r="D1596" s="35"/>
      <c r="E1596" s="35"/>
      <c r="F1596" s="35"/>
      <c r="G1596" s="35"/>
      <c r="H1596" s="35"/>
      <c r="I1596" s="35"/>
      <c r="J1596" s="35"/>
      <c r="K1596" s="35"/>
      <c r="L1596" s="35"/>
      <c r="M1596" s="35"/>
    </row>
    <row r="1597" spans="2:13" x14ac:dyDescent="0.35">
      <c r="B1597" s="32"/>
      <c r="C1597" s="35"/>
      <c r="D1597" s="35"/>
      <c r="E1597" s="35"/>
      <c r="F1597" s="35"/>
      <c r="G1597" s="35"/>
      <c r="H1597" s="35"/>
      <c r="I1597" s="35"/>
      <c r="J1597" s="35"/>
      <c r="K1597" s="35"/>
      <c r="L1597" s="35"/>
      <c r="M1597" s="35"/>
    </row>
    <row r="1598" spans="2:13" x14ac:dyDescent="0.35">
      <c r="B1598" s="32"/>
      <c r="C1598" s="35"/>
      <c r="D1598" s="35"/>
      <c r="E1598" s="35"/>
      <c r="F1598" s="35"/>
      <c r="G1598" s="35"/>
      <c r="H1598" s="35"/>
      <c r="I1598" s="35"/>
      <c r="J1598" s="35"/>
      <c r="K1598" s="35"/>
      <c r="L1598" s="35"/>
      <c r="M1598" s="35"/>
    </row>
    <row r="1599" spans="2:13" x14ac:dyDescent="0.35">
      <c r="B1599" s="32"/>
      <c r="C1599" s="35"/>
      <c r="D1599" s="35"/>
      <c r="E1599" s="35"/>
      <c r="F1599" s="35"/>
      <c r="G1599" s="35"/>
      <c r="H1599" s="35"/>
      <c r="I1599" s="35"/>
      <c r="J1599" s="35"/>
      <c r="K1599" s="35"/>
      <c r="L1599" s="35"/>
      <c r="M1599" s="35"/>
    </row>
    <row r="1600" spans="2:13" x14ac:dyDescent="0.35">
      <c r="B1600" s="32"/>
      <c r="C1600" s="35"/>
      <c r="D1600" s="35"/>
      <c r="E1600" s="35"/>
      <c r="F1600" s="35"/>
      <c r="G1600" s="35"/>
      <c r="H1600" s="35"/>
      <c r="I1600" s="35"/>
      <c r="J1600" s="35"/>
      <c r="K1600" s="35"/>
      <c r="L1600" s="35"/>
      <c r="M1600" s="35"/>
    </row>
    <row r="1601" spans="2:13" x14ac:dyDescent="0.35">
      <c r="B1601" s="32"/>
      <c r="C1601" s="35"/>
      <c r="D1601" s="35"/>
      <c r="E1601" s="35"/>
      <c r="F1601" s="35"/>
      <c r="G1601" s="35"/>
      <c r="H1601" s="35"/>
      <c r="I1601" s="35"/>
      <c r="J1601" s="35"/>
      <c r="K1601" s="35"/>
      <c r="L1601" s="35"/>
      <c r="M1601" s="35"/>
    </row>
    <row r="1602" spans="2:13" x14ac:dyDescent="0.35">
      <c r="B1602" s="32"/>
      <c r="C1602" s="35"/>
      <c r="D1602" s="35"/>
      <c r="E1602" s="35"/>
      <c r="F1602" s="35"/>
      <c r="G1602" s="35"/>
      <c r="H1602" s="35"/>
      <c r="I1602" s="35"/>
      <c r="J1602" s="35"/>
      <c r="K1602" s="35"/>
      <c r="L1602" s="35"/>
      <c r="M1602" s="35"/>
    </row>
    <row r="1603" spans="2:13" x14ac:dyDescent="0.35">
      <c r="B1603" s="32"/>
      <c r="C1603" s="35"/>
      <c r="D1603" s="35"/>
      <c r="E1603" s="35"/>
      <c r="F1603" s="35"/>
      <c r="G1603" s="35"/>
      <c r="H1603" s="35"/>
      <c r="I1603" s="35"/>
      <c r="J1603" s="35"/>
      <c r="K1603" s="35"/>
      <c r="L1603" s="35"/>
      <c r="M1603" s="35"/>
    </row>
    <row r="1604" spans="2:13" x14ac:dyDescent="0.35">
      <c r="B1604" s="32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</row>
    <row r="1605" spans="2:13" x14ac:dyDescent="0.35">
      <c r="B1605" s="32"/>
      <c r="C1605" s="35"/>
      <c r="D1605" s="35"/>
      <c r="E1605" s="35"/>
      <c r="F1605" s="35"/>
      <c r="G1605" s="35"/>
      <c r="H1605" s="35"/>
      <c r="I1605" s="35"/>
      <c r="J1605" s="35"/>
      <c r="K1605" s="35"/>
      <c r="L1605" s="35"/>
      <c r="M1605" s="35"/>
    </row>
    <row r="1606" spans="2:13" x14ac:dyDescent="0.35">
      <c r="B1606" s="32"/>
      <c r="C1606" s="35"/>
      <c r="D1606" s="35"/>
      <c r="E1606" s="35"/>
      <c r="F1606" s="35"/>
      <c r="G1606" s="35"/>
      <c r="H1606" s="35"/>
      <c r="I1606" s="35"/>
      <c r="J1606" s="35"/>
      <c r="K1606" s="35"/>
      <c r="L1606" s="35"/>
      <c r="M1606" s="35"/>
    </row>
    <row r="1607" spans="2:13" x14ac:dyDescent="0.35">
      <c r="B1607" s="32"/>
      <c r="C1607" s="35"/>
      <c r="D1607" s="35"/>
      <c r="E1607" s="35"/>
      <c r="F1607" s="35"/>
      <c r="G1607" s="35"/>
      <c r="H1607" s="35"/>
      <c r="I1607" s="35"/>
      <c r="J1607" s="35"/>
      <c r="K1607" s="35"/>
      <c r="L1607" s="35"/>
      <c r="M1607" s="35"/>
    </row>
    <row r="1608" spans="2:13" x14ac:dyDescent="0.35">
      <c r="B1608" s="32"/>
      <c r="C1608" s="35"/>
      <c r="D1608" s="35"/>
      <c r="E1608" s="35"/>
      <c r="F1608" s="35"/>
      <c r="G1608" s="35"/>
      <c r="H1608" s="35"/>
      <c r="I1608" s="35"/>
      <c r="J1608" s="35"/>
      <c r="K1608" s="35"/>
      <c r="L1608" s="35"/>
      <c r="M1608" s="35"/>
    </row>
    <row r="1609" spans="2:13" x14ac:dyDescent="0.35">
      <c r="B1609" s="32"/>
      <c r="C1609" s="35"/>
      <c r="D1609" s="35"/>
      <c r="E1609" s="35"/>
      <c r="F1609" s="35"/>
      <c r="G1609" s="35"/>
      <c r="H1609" s="35"/>
      <c r="I1609" s="35"/>
      <c r="J1609" s="35"/>
      <c r="K1609" s="35"/>
      <c r="L1609" s="35"/>
      <c r="M1609" s="35"/>
    </row>
    <row r="1610" spans="2:13" x14ac:dyDescent="0.35">
      <c r="B1610" s="32"/>
      <c r="C1610" s="35"/>
      <c r="D1610" s="35"/>
      <c r="E1610" s="35"/>
      <c r="F1610" s="35"/>
      <c r="G1610" s="35"/>
      <c r="H1610" s="35"/>
      <c r="I1610" s="35"/>
      <c r="J1610" s="35"/>
      <c r="K1610" s="35"/>
      <c r="L1610" s="35"/>
      <c r="M1610" s="35"/>
    </row>
    <row r="1611" spans="2:13" x14ac:dyDescent="0.35">
      <c r="B1611" s="32"/>
      <c r="C1611" s="35"/>
      <c r="D1611" s="35"/>
      <c r="E1611" s="35"/>
      <c r="F1611" s="35"/>
      <c r="G1611" s="35"/>
      <c r="H1611" s="35"/>
      <c r="I1611" s="35"/>
      <c r="J1611" s="35"/>
      <c r="K1611" s="35"/>
      <c r="L1611" s="35"/>
      <c r="M1611" s="35"/>
    </row>
    <row r="1612" spans="2:13" x14ac:dyDescent="0.35">
      <c r="B1612" s="32"/>
      <c r="C1612" s="35"/>
      <c r="D1612" s="35"/>
      <c r="E1612" s="35"/>
      <c r="F1612" s="35"/>
      <c r="G1612" s="35"/>
      <c r="H1612" s="35"/>
      <c r="I1612" s="35"/>
      <c r="J1612" s="35"/>
      <c r="K1612" s="35"/>
      <c r="L1612" s="35"/>
      <c r="M1612" s="35"/>
    </row>
    <row r="1613" spans="2:13" x14ac:dyDescent="0.35">
      <c r="B1613" s="32"/>
      <c r="C1613" s="35"/>
      <c r="D1613" s="35"/>
      <c r="E1613" s="35"/>
      <c r="F1613" s="35"/>
      <c r="G1613" s="35"/>
      <c r="H1613" s="35"/>
      <c r="I1613" s="35"/>
      <c r="J1613" s="35"/>
      <c r="K1613" s="35"/>
      <c r="L1613" s="35"/>
      <c r="M1613" s="35"/>
    </row>
    <row r="1614" spans="2:13" x14ac:dyDescent="0.35">
      <c r="B1614" s="32"/>
      <c r="C1614" s="35"/>
      <c r="D1614" s="35"/>
      <c r="E1614" s="35"/>
      <c r="F1614" s="35"/>
      <c r="G1614" s="35"/>
      <c r="H1614" s="35"/>
      <c r="I1614" s="35"/>
      <c r="J1614" s="35"/>
      <c r="K1614" s="35"/>
      <c r="L1614" s="35"/>
      <c r="M1614" s="35"/>
    </row>
    <row r="1615" spans="2:13" x14ac:dyDescent="0.35">
      <c r="B1615" s="32"/>
      <c r="C1615" s="35"/>
      <c r="D1615" s="35"/>
      <c r="E1615" s="35"/>
      <c r="F1615" s="35"/>
      <c r="G1615" s="35"/>
      <c r="H1615" s="35"/>
      <c r="I1615" s="35"/>
      <c r="J1615" s="35"/>
      <c r="K1615" s="35"/>
      <c r="L1615" s="35"/>
      <c r="M1615" s="35"/>
    </row>
    <row r="1616" spans="2:13" x14ac:dyDescent="0.35">
      <c r="B1616" s="32"/>
      <c r="C1616" s="35"/>
      <c r="D1616" s="35"/>
      <c r="E1616" s="35"/>
      <c r="F1616" s="35"/>
      <c r="G1616" s="35"/>
      <c r="H1616" s="35"/>
      <c r="I1616" s="35"/>
      <c r="J1616" s="35"/>
      <c r="K1616" s="35"/>
      <c r="L1616" s="35"/>
      <c r="M1616" s="35"/>
    </row>
    <row r="1617" spans="2:13" x14ac:dyDescent="0.35">
      <c r="B1617" s="32"/>
      <c r="C1617" s="35"/>
      <c r="D1617" s="35"/>
      <c r="E1617" s="35"/>
      <c r="F1617" s="35"/>
      <c r="G1617" s="35"/>
      <c r="H1617" s="35"/>
      <c r="I1617" s="35"/>
      <c r="J1617" s="35"/>
      <c r="K1617" s="35"/>
      <c r="L1617" s="35"/>
      <c r="M1617" s="35"/>
    </row>
    <row r="1618" spans="2:13" x14ac:dyDescent="0.35">
      <c r="B1618" s="32"/>
      <c r="C1618" s="35"/>
      <c r="D1618" s="35"/>
      <c r="E1618" s="35"/>
      <c r="F1618" s="35"/>
      <c r="G1618" s="35"/>
      <c r="H1618" s="35"/>
      <c r="I1618" s="35"/>
      <c r="J1618" s="35"/>
      <c r="K1618" s="35"/>
      <c r="L1618" s="35"/>
      <c r="M1618" s="35"/>
    </row>
    <row r="1619" spans="2:13" x14ac:dyDescent="0.35">
      <c r="B1619" s="32"/>
      <c r="C1619" s="35"/>
      <c r="D1619" s="35"/>
      <c r="E1619" s="35"/>
      <c r="F1619" s="35"/>
      <c r="G1619" s="35"/>
      <c r="H1619" s="35"/>
      <c r="I1619" s="35"/>
      <c r="J1619" s="35"/>
      <c r="K1619" s="35"/>
      <c r="L1619" s="35"/>
      <c r="M1619" s="35"/>
    </row>
    <row r="1620" spans="2:13" x14ac:dyDescent="0.35">
      <c r="B1620" s="32"/>
      <c r="C1620" s="35"/>
      <c r="D1620" s="35"/>
      <c r="E1620" s="35"/>
      <c r="F1620" s="35"/>
      <c r="G1620" s="35"/>
      <c r="H1620" s="35"/>
      <c r="I1620" s="35"/>
      <c r="J1620" s="35"/>
      <c r="K1620" s="35"/>
      <c r="L1620" s="35"/>
      <c r="M1620" s="35"/>
    </row>
    <row r="1621" spans="2:13" x14ac:dyDescent="0.35">
      <c r="B1621" s="32"/>
      <c r="C1621" s="35"/>
      <c r="D1621" s="35"/>
      <c r="E1621" s="35"/>
      <c r="F1621" s="35"/>
      <c r="G1621" s="35"/>
      <c r="H1621" s="35"/>
      <c r="I1621" s="35"/>
      <c r="J1621" s="35"/>
      <c r="K1621" s="35"/>
      <c r="L1621" s="35"/>
      <c r="M1621" s="35"/>
    </row>
    <row r="1622" spans="2:13" x14ac:dyDescent="0.35">
      <c r="B1622" s="32"/>
      <c r="C1622" s="35"/>
      <c r="D1622" s="35"/>
      <c r="E1622" s="35"/>
      <c r="F1622" s="35"/>
      <c r="G1622" s="35"/>
      <c r="H1622" s="35"/>
      <c r="I1622" s="35"/>
      <c r="J1622" s="35"/>
      <c r="K1622" s="35"/>
      <c r="L1622" s="35"/>
      <c r="M1622" s="35"/>
    </row>
    <row r="1623" spans="2:13" x14ac:dyDescent="0.35">
      <c r="B1623" s="32"/>
      <c r="C1623" s="35"/>
      <c r="D1623" s="35"/>
      <c r="E1623" s="35"/>
      <c r="F1623" s="35"/>
      <c r="G1623" s="35"/>
      <c r="H1623" s="35"/>
      <c r="I1623" s="35"/>
      <c r="J1623" s="35"/>
      <c r="K1623" s="35"/>
      <c r="L1623" s="35"/>
      <c r="M1623" s="35"/>
    </row>
    <row r="1624" spans="2:13" x14ac:dyDescent="0.35">
      <c r="B1624" s="32"/>
      <c r="C1624" s="35"/>
      <c r="D1624" s="35"/>
      <c r="E1624" s="35"/>
      <c r="F1624" s="35"/>
      <c r="G1624" s="35"/>
      <c r="H1624" s="35"/>
      <c r="I1624" s="35"/>
      <c r="J1624" s="35"/>
      <c r="K1624" s="35"/>
      <c r="L1624" s="35"/>
      <c r="M1624" s="35"/>
    </row>
    <row r="1625" spans="2:13" x14ac:dyDescent="0.35">
      <c r="B1625" s="32"/>
      <c r="C1625" s="35"/>
      <c r="D1625" s="35"/>
      <c r="E1625" s="35"/>
      <c r="F1625" s="35"/>
      <c r="G1625" s="35"/>
      <c r="H1625" s="35"/>
      <c r="I1625" s="35"/>
      <c r="J1625" s="35"/>
      <c r="K1625" s="35"/>
      <c r="L1625" s="35"/>
      <c r="M1625" s="35"/>
    </row>
    <row r="1626" spans="2:13" x14ac:dyDescent="0.35">
      <c r="B1626" s="32"/>
      <c r="C1626" s="35"/>
      <c r="D1626" s="35"/>
      <c r="E1626" s="35"/>
      <c r="F1626" s="35"/>
      <c r="G1626" s="35"/>
      <c r="H1626" s="35"/>
      <c r="I1626" s="35"/>
      <c r="J1626" s="35"/>
      <c r="K1626" s="35"/>
      <c r="L1626" s="35"/>
      <c r="M1626" s="35"/>
    </row>
    <row r="1627" spans="2:13" x14ac:dyDescent="0.35">
      <c r="B1627" s="32"/>
      <c r="C1627" s="35"/>
      <c r="D1627" s="35"/>
      <c r="E1627" s="35"/>
      <c r="F1627" s="35"/>
      <c r="G1627" s="35"/>
      <c r="H1627" s="35"/>
      <c r="I1627" s="35"/>
      <c r="J1627" s="35"/>
      <c r="K1627" s="35"/>
      <c r="L1627" s="35"/>
      <c r="M1627" s="35"/>
    </row>
    <row r="1628" spans="2:13" x14ac:dyDescent="0.35">
      <c r="B1628" s="32"/>
      <c r="C1628" s="35"/>
      <c r="D1628" s="35"/>
      <c r="E1628" s="35"/>
      <c r="F1628" s="35"/>
      <c r="G1628" s="35"/>
      <c r="H1628" s="35"/>
      <c r="I1628" s="35"/>
      <c r="J1628" s="35"/>
      <c r="K1628" s="35"/>
      <c r="L1628" s="35"/>
      <c r="M1628" s="35"/>
    </row>
    <row r="1629" spans="2:13" x14ac:dyDescent="0.35">
      <c r="B1629" s="32"/>
      <c r="C1629" s="35"/>
      <c r="D1629" s="35"/>
      <c r="E1629" s="35"/>
      <c r="F1629" s="35"/>
      <c r="G1629" s="35"/>
      <c r="H1629" s="35"/>
      <c r="I1629" s="35"/>
      <c r="J1629" s="35"/>
      <c r="K1629" s="35"/>
      <c r="L1629" s="35"/>
      <c r="M1629" s="35"/>
    </row>
    <row r="1630" spans="2:13" x14ac:dyDescent="0.35">
      <c r="B1630" s="32"/>
      <c r="C1630" s="35"/>
      <c r="D1630" s="35"/>
      <c r="E1630" s="35"/>
      <c r="F1630" s="35"/>
      <c r="G1630" s="35"/>
      <c r="H1630" s="35"/>
      <c r="I1630" s="35"/>
      <c r="J1630" s="35"/>
      <c r="K1630" s="35"/>
      <c r="L1630" s="35"/>
      <c r="M1630" s="35"/>
    </row>
    <row r="1631" spans="2:13" x14ac:dyDescent="0.35">
      <c r="B1631" s="32"/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</row>
    <row r="1632" spans="2:13" x14ac:dyDescent="0.35">
      <c r="B1632" s="32"/>
      <c r="C1632" s="35"/>
      <c r="D1632" s="35"/>
      <c r="E1632" s="35"/>
      <c r="F1632" s="35"/>
      <c r="G1632" s="35"/>
      <c r="H1632" s="35"/>
      <c r="I1632" s="35"/>
      <c r="J1632" s="35"/>
      <c r="K1632" s="35"/>
      <c r="L1632" s="35"/>
      <c r="M1632" s="35"/>
    </row>
    <row r="1633" spans="2:13" x14ac:dyDescent="0.35">
      <c r="B1633" s="32"/>
      <c r="C1633" s="35"/>
      <c r="D1633" s="35"/>
      <c r="E1633" s="35"/>
      <c r="F1633" s="35"/>
      <c r="G1633" s="35"/>
      <c r="H1633" s="35"/>
      <c r="I1633" s="35"/>
      <c r="J1633" s="35"/>
      <c r="K1633" s="35"/>
      <c r="L1633" s="35"/>
      <c r="M1633" s="35"/>
    </row>
    <row r="1634" spans="2:13" x14ac:dyDescent="0.35">
      <c r="B1634" s="32"/>
      <c r="C1634" s="35"/>
      <c r="D1634" s="35"/>
      <c r="E1634" s="35"/>
      <c r="F1634" s="35"/>
      <c r="G1634" s="35"/>
      <c r="H1634" s="35"/>
      <c r="I1634" s="35"/>
      <c r="J1634" s="35"/>
      <c r="K1634" s="35"/>
      <c r="L1634" s="35"/>
      <c r="M1634" s="35"/>
    </row>
    <row r="1635" spans="2:13" x14ac:dyDescent="0.35">
      <c r="B1635" s="32"/>
      <c r="C1635" s="35"/>
      <c r="D1635" s="35"/>
      <c r="E1635" s="35"/>
      <c r="F1635" s="35"/>
      <c r="G1635" s="35"/>
      <c r="H1635" s="35"/>
      <c r="I1635" s="35"/>
      <c r="J1635" s="35"/>
      <c r="K1635" s="35"/>
      <c r="L1635" s="35"/>
      <c r="M1635" s="35"/>
    </row>
    <row r="1636" spans="2:13" x14ac:dyDescent="0.35">
      <c r="B1636" s="32"/>
      <c r="C1636" s="35"/>
      <c r="D1636" s="35"/>
      <c r="E1636" s="35"/>
      <c r="F1636" s="35"/>
      <c r="G1636" s="35"/>
      <c r="H1636" s="35"/>
      <c r="I1636" s="35"/>
      <c r="J1636" s="35"/>
      <c r="K1636" s="35"/>
      <c r="L1636" s="35"/>
      <c r="M1636" s="35"/>
    </row>
    <row r="1637" spans="2:13" x14ac:dyDescent="0.35">
      <c r="B1637" s="32"/>
      <c r="C1637" s="35"/>
      <c r="D1637" s="35"/>
      <c r="E1637" s="35"/>
      <c r="F1637" s="35"/>
      <c r="G1637" s="35"/>
      <c r="H1637" s="35"/>
      <c r="I1637" s="35"/>
      <c r="J1637" s="35"/>
      <c r="K1637" s="35"/>
      <c r="L1637" s="35"/>
      <c r="M1637" s="35"/>
    </row>
    <row r="1638" spans="2:13" x14ac:dyDescent="0.35">
      <c r="B1638" s="32"/>
      <c r="C1638" s="35"/>
      <c r="D1638" s="35"/>
      <c r="E1638" s="35"/>
      <c r="F1638" s="35"/>
      <c r="G1638" s="35"/>
      <c r="H1638" s="35"/>
      <c r="I1638" s="35"/>
      <c r="J1638" s="35"/>
      <c r="K1638" s="35"/>
      <c r="L1638" s="35"/>
      <c r="M1638" s="35"/>
    </row>
    <row r="1639" spans="2:13" x14ac:dyDescent="0.35">
      <c r="B1639" s="32"/>
      <c r="C1639" s="35"/>
      <c r="D1639" s="35"/>
      <c r="E1639" s="35"/>
      <c r="F1639" s="35"/>
      <c r="G1639" s="35"/>
      <c r="H1639" s="35"/>
      <c r="I1639" s="35"/>
      <c r="J1639" s="35"/>
      <c r="K1639" s="35"/>
      <c r="L1639" s="35"/>
      <c r="M1639" s="35"/>
    </row>
    <row r="1640" spans="2:13" x14ac:dyDescent="0.35">
      <c r="B1640" s="32"/>
      <c r="C1640" s="35"/>
      <c r="D1640" s="35"/>
      <c r="E1640" s="35"/>
      <c r="F1640" s="35"/>
      <c r="G1640" s="35"/>
      <c r="H1640" s="35"/>
      <c r="I1640" s="35"/>
      <c r="J1640" s="35"/>
      <c r="K1640" s="35"/>
      <c r="L1640" s="35"/>
      <c r="M1640" s="35"/>
    </row>
    <row r="1641" spans="2:13" x14ac:dyDescent="0.35">
      <c r="B1641" s="32"/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</row>
    <row r="1642" spans="2:13" x14ac:dyDescent="0.35">
      <c r="B1642" s="32"/>
      <c r="C1642" s="35"/>
      <c r="D1642" s="35"/>
      <c r="E1642" s="35"/>
      <c r="F1642" s="35"/>
      <c r="G1642" s="35"/>
      <c r="H1642" s="35"/>
      <c r="I1642" s="35"/>
      <c r="J1642" s="35"/>
      <c r="K1642" s="35"/>
      <c r="L1642" s="35"/>
      <c r="M1642" s="35"/>
    </row>
    <row r="1643" spans="2:13" x14ac:dyDescent="0.35">
      <c r="B1643" s="32"/>
      <c r="C1643" s="35"/>
      <c r="D1643" s="35"/>
      <c r="E1643" s="35"/>
      <c r="F1643" s="35"/>
      <c r="G1643" s="35"/>
      <c r="H1643" s="35"/>
      <c r="I1643" s="35"/>
      <c r="J1643" s="35"/>
      <c r="K1643" s="35"/>
      <c r="L1643" s="35"/>
      <c r="M1643" s="35"/>
    </row>
    <row r="1644" spans="2:13" x14ac:dyDescent="0.35">
      <c r="B1644" s="32"/>
      <c r="C1644" s="35"/>
      <c r="D1644" s="35"/>
      <c r="E1644" s="35"/>
      <c r="F1644" s="35"/>
      <c r="G1644" s="35"/>
      <c r="H1644" s="35"/>
      <c r="I1644" s="35"/>
      <c r="J1644" s="35"/>
      <c r="K1644" s="35"/>
      <c r="L1644" s="35"/>
      <c r="M1644" s="35"/>
    </row>
    <row r="1645" spans="2:13" x14ac:dyDescent="0.35">
      <c r="B1645" s="32"/>
      <c r="C1645" s="35"/>
      <c r="D1645" s="35"/>
      <c r="E1645" s="35"/>
      <c r="F1645" s="35"/>
      <c r="G1645" s="35"/>
      <c r="H1645" s="35"/>
      <c r="I1645" s="35"/>
      <c r="J1645" s="35"/>
      <c r="K1645" s="35"/>
      <c r="L1645" s="35"/>
      <c r="M1645" s="35"/>
    </row>
    <row r="1646" spans="2:13" x14ac:dyDescent="0.35">
      <c r="B1646" s="32"/>
      <c r="C1646" s="35"/>
      <c r="D1646" s="35"/>
      <c r="E1646" s="35"/>
      <c r="F1646" s="35"/>
      <c r="G1646" s="35"/>
      <c r="H1646" s="35"/>
      <c r="I1646" s="35"/>
      <c r="J1646" s="35"/>
      <c r="K1646" s="35"/>
      <c r="L1646" s="35"/>
      <c r="M1646" s="35"/>
    </row>
    <row r="1647" spans="2:13" x14ac:dyDescent="0.35">
      <c r="B1647" s="32"/>
      <c r="C1647" s="35"/>
      <c r="D1647" s="35"/>
      <c r="E1647" s="35"/>
      <c r="F1647" s="35"/>
      <c r="G1647" s="35"/>
      <c r="H1647" s="35"/>
      <c r="I1647" s="35"/>
      <c r="J1647" s="35"/>
      <c r="K1647" s="35"/>
      <c r="L1647" s="35"/>
      <c r="M1647" s="35"/>
    </row>
    <row r="1648" spans="2:13" x14ac:dyDescent="0.35">
      <c r="B1648" s="32"/>
      <c r="C1648" s="35"/>
      <c r="D1648" s="35"/>
      <c r="E1648" s="35"/>
      <c r="F1648" s="35"/>
      <c r="G1648" s="35"/>
      <c r="H1648" s="35"/>
      <c r="I1648" s="35"/>
      <c r="J1648" s="35"/>
      <c r="K1648" s="35"/>
      <c r="L1648" s="35"/>
      <c r="M1648" s="35"/>
    </row>
    <row r="1649" spans="2:13" x14ac:dyDescent="0.35">
      <c r="B1649" s="32"/>
      <c r="C1649" s="35"/>
      <c r="D1649" s="35"/>
      <c r="E1649" s="35"/>
      <c r="F1649" s="35"/>
      <c r="G1649" s="35"/>
      <c r="H1649" s="35"/>
      <c r="I1649" s="35"/>
      <c r="J1649" s="35"/>
      <c r="K1649" s="35"/>
      <c r="L1649" s="35"/>
      <c r="M1649" s="35"/>
    </row>
    <row r="1650" spans="2:13" x14ac:dyDescent="0.35">
      <c r="B1650" s="32"/>
      <c r="C1650" s="35"/>
      <c r="D1650" s="35"/>
      <c r="E1650" s="35"/>
      <c r="F1650" s="35"/>
      <c r="G1650" s="35"/>
      <c r="H1650" s="35"/>
      <c r="I1650" s="35"/>
      <c r="J1650" s="35"/>
      <c r="K1650" s="35"/>
      <c r="L1650" s="35"/>
      <c r="M1650" s="35"/>
    </row>
    <row r="1651" spans="2:13" x14ac:dyDescent="0.35">
      <c r="B1651" s="32"/>
      <c r="C1651" s="35"/>
      <c r="D1651" s="35"/>
      <c r="E1651" s="35"/>
      <c r="F1651" s="35"/>
      <c r="G1651" s="35"/>
      <c r="H1651" s="35"/>
      <c r="I1651" s="35"/>
      <c r="J1651" s="35"/>
      <c r="K1651" s="35"/>
      <c r="L1651" s="35"/>
      <c r="M1651" s="35"/>
    </row>
    <row r="1652" spans="2:13" x14ac:dyDescent="0.35">
      <c r="B1652" s="32"/>
      <c r="C1652" s="35"/>
      <c r="D1652" s="35"/>
      <c r="E1652" s="35"/>
      <c r="F1652" s="35"/>
      <c r="G1652" s="35"/>
      <c r="H1652" s="35"/>
      <c r="I1652" s="35"/>
      <c r="J1652" s="35"/>
      <c r="K1652" s="35"/>
      <c r="L1652" s="35"/>
      <c r="M1652" s="35"/>
    </row>
    <row r="1653" spans="2:13" x14ac:dyDescent="0.35">
      <c r="B1653" s="32"/>
      <c r="C1653" s="35"/>
      <c r="D1653" s="35"/>
      <c r="E1653" s="35"/>
      <c r="F1653" s="35"/>
      <c r="G1653" s="35"/>
      <c r="H1653" s="35"/>
      <c r="I1653" s="35"/>
      <c r="J1653" s="35"/>
      <c r="K1653" s="35"/>
      <c r="L1653" s="35"/>
      <c r="M1653" s="35"/>
    </row>
    <row r="1654" spans="2:13" x14ac:dyDescent="0.35">
      <c r="B1654" s="32"/>
      <c r="C1654" s="35"/>
      <c r="D1654" s="35"/>
      <c r="E1654" s="35"/>
      <c r="F1654" s="35"/>
      <c r="G1654" s="35"/>
      <c r="H1654" s="35"/>
      <c r="I1654" s="35"/>
      <c r="J1654" s="35"/>
      <c r="K1654" s="35"/>
      <c r="L1654" s="35"/>
      <c r="M1654" s="35"/>
    </row>
    <row r="1655" spans="2:13" x14ac:dyDescent="0.35">
      <c r="B1655" s="32"/>
      <c r="C1655" s="35"/>
      <c r="D1655" s="35"/>
      <c r="E1655" s="35"/>
      <c r="F1655" s="35"/>
      <c r="G1655" s="35"/>
      <c r="H1655" s="35"/>
      <c r="I1655" s="35"/>
      <c r="J1655" s="35"/>
      <c r="K1655" s="35"/>
      <c r="L1655" s="35"/>
      <c r="M1655" s="35"/>
    </row>
    <row r="1656" spans="2:13" x14ac:dyDescent="0.35">
      <c r="B1656" s="32"/>
      <c r="C1656" s="35"/>
      <c r="D1656" s="35"/>
      <c r="E1656" s="35"/>
      <c r="F1656" s="35"/>
      <c r="G1656" s="35"/>
      <c r="H1656" s="35"/>
      <c r="I1656" s="35"/>
      <c r="J1656" s="35"/>
      <c r="K1656" s="35"/>
      <c r="L1656" s="35"/>
      <c r="M1656" s="35"/>
    </row>
    <row r="1657" spans="2:13" x14ac:dyDescent="0.35">
      <c r="B1657" s="32"/>
      <c r="C1657" s="35"/>
      <c r="D1657" s="35"/>
      <c r="E1657" s="35"/>
      <c r="F1657" s="35"/>
      <c r="G1657" s="35"/>
      <c r="H1657" s="35"/>
      <c r="I1657" s="35"/>
      <c r="J1657" s="35"/>
      <c r="K1657" s="35"/>
      <c r="L1657" s="35"/>
      <c r="M1657" s="35"/>
    </row>
    <row r="1658" spans="2:13" x14ac:dyDescent="0.35">
      <c r="B1658" s="32"/>
      <c r="C1658" s="35"/>
      <c r="D1658" s="35"/>
      <c r="E1658" s="35"/>
      <c r="F1658" s="35"/>
      <c r="G1658" s="35"/>
      <c r="H1658" s="35"/>
      <c r="I1658" s="35"/>
      <c r="J1658" s="35"/>
      <c r="K1658" s="35"/>
      <c r="L1658" s="35"/>
      <c r="M1658" s="35"/>
    </row>
    <row r="1659" spans="2:13" x14ac:dyDescent="0.35">
      <c r="B1659" s="32"/>
      <c r="C1659" s="35"/>
      <c r="D1659" s="35"/>
      <c r="E1659" s="35"/>
      <c r="F1659" s="35"/>
      <c r="G1659" s="35"/>
      <c r="H1659" s="35"/>
      <c r="I1659" s="35"/>
      <c r="J1659" s="35"/>
      <c r="K1659" s="35"/>
      <c r="L1659" s="35"/>
      <c r="M1659" s="35"/>
    </row>
    <row r="1660" spans="2:13" x14ac:dyDescent="0.35">
      <c r="B1660" s="32"/>
      <c r="C1660" s="35"/>
      <c r="D1660" s="35"/>
      <c r="E1660" s="35"/>
      <c r="F1660" s="35"/>
      <c r="G1660" s="35"/>
      <c r="H1660" s="35"/>
      <c r="I1660" s="35"/>
      <c r="J1660" s="35"/>
      <c r="K1660" s="35"/>
      <c r="L1660" s="35"/>
      <c r="M1660" s="35"/>
    </row>
    <row r="1661" spans="2:13" x14ac:dyDescent="0.35">
      <c r="B1661" s="32"/>
      <c r="C1661" s="35"/>
      <c r="D1661" s="35"/>
      <c r="E1661" s="35"/>
      <c r="F1661" s="35"/>
      <c r="G1661" s="35"/>
      <c r="H1661" s="35"/>
      <c r="I1661" s="35"/>
      <c r="J1661" s="35"/>
      <c r="K1661" s="35"/>
      <c r="L1661" s="35"/>
      <c r="M1661" s="35"/>
    </row>
    <row r="1662" spans="2:13" x14ac:dyDescent="0.35">
      <c r="B1662" s="32"/>
      <c r="C1662" s="35"/>
      <c r="D1662" s="35"/>
      <c r="E1662" s="35"/>
      <c r="F1662" s="35"/>
      <c r="G1662" s="35"/>
      <c r="H1662" s="35"/>
      <c r="I1662" s="35"/>
      <c r="J1662" s="35"/>
      <c r="K1662" s="35"/>
      <c r="L1662" s="35"/>
      <c r="M1662" s="35"/>
    </row>
    <row r="1663" spans="2:13" x14ac:dyDescent="0.35">
      <c r="B1663" s="32"/>
      <c r="C1663" s="35"/>
      <c r="D1663" s="35"/>
      <c r="E1663" s="35"/>
      <c r="F1663" s="35"/>
      <c r="G1663" s="35"/>
      <c r="H1663" s="35"/>
      <c r="I1663" s="35"/>
      <c r="J1663" s="35"/>
      <c r="K1663" s="35"/>
      <c r="L1663" s="35"/>
      <c r="M1663" s="35"/>
    </row>
    <row r="1664" spans="2:13" x14ac:dyDescent="0.35">
      <c r="B1664" s="32"/>
      <c r="C1664" s="35"/>
      <c r="D1664" s="35"/>
      <c r="E1664" s="35"/>
      <c r="F1664" s="35"/>
      <c r="G1664" s="35"/>
      <c r="H1664" s="35"/>
      <c r="I1664" s="35"/>
      <c r="J1664" s="35"/>
      <c r="K1664" s="35"/>
      <c r="L1664" s="35"/>
      <c r="M1664" s="35"/>
    </row>
    <row r="1665" spans="2:13" x14ac:dyDescent="0.35">
      <c r="B1665" s="32"/>
      <c r="C1665" s="35"/>
      <c r="D1665" s="35"/>
      <c r="E1665" s="35"/>
      <c r="F1665" s="35"/>
      <c r="G1665" s="35"/>
      <c r="H1665" s="35"/>
      <c r="I1665" s="35"/>
      <c r="J1665" s="35"/>
      <c r="K1665" s="35"/>
      <c r="L1665" s="35"/>
      <c r="M1665" s="35"/>
    </row>
    <row r="1666" spans="2:13" x14ac:dyDescent="0.35">
      <c r="B1666" s="32"/>
      <c r="C1666" s="35"/>
      <c r="D1666" s="35"/>
      <c r="E1666" s="35"/>
      <c r="F1666" s="35"/>
      <c r="G1666" s="35"/>
      <c r="H1666" s="35"/>
      <c r="I1666" s="35"/>
      <c r="J1666" s="35"/>
      <c r="K1666" s="35"/>
      <c r="L1666" s="35"/>
      <c r="M1666" s="35"/>
    </row>
    <row r="1667" spans="2:13" x14ac:dyDescent="0.35">
      <c r="B1667" s="32"/>
      <c r="C1667" s="35"/>
      <c r="D1667" s="35"/>
      <c r="E1667" s="35"/>
      <c r="F1667" s="35"/>
      <c r="G1667" s="35"/>
      <c r="H1667" s="35"/>
      <c r="I1667" s="35"/>
      <c r="J1667" s="35"/>
      <c r="K1667" s="35"/>
      <c r="L1667" s="35"/>
      <c r="M1667" s="35"/>
    </row>
    <row r="1668" spans="2:13" x14ac:dyDescent="0.35">
      <c r="B1668" s="32"/>
      <c r="C1668" s="35"/>
      <c r="D1668" s="35"/>
      <c r="E1668" s="35"/>
      <c r="F1668" s="35"/>
      <c r="G1668" s="35"/>
      <c r="H1668" s="35"/>
      <c r="I1668" s="35"/>
      <c r="J1668" s="35"/>
      <c r="K1668" s="35"/>
      <c r="L1668" s="35"/>
      <c r="M1668" s="35"/>
    </row>
    <row r="1669" spans="2:13" x14ac:dyDescent="0.35">
      <c r="B1669" s="32"/>
      <c r="C1669" s="35"/>
      <c r="D1669" s="35"/>
      <c r="E1669" s="35"/>
      <c r="F1669" s="35"/>
      <c r="G1669" s="35"/>
      <c r="H1669" s="35"/>
      <c r="I1669" s="35"/>
      <c r="J1669" s="35"/>
      <c r="K1669" s="35"/>
      <c r="L1669" s="35"/>
      <c r="M1669" s="35"/>
    </row>
    <row r="1670" spans="2:13" x14ac:dyDescent="0.35">
      <c r="B1670" s="32"/>
      <c r="C1670" s="35"/>
      <c r="D1670" s="35"/>
      <c r="E1670" s="35"/>
      <c r="F1670" s="35"/>
      <c r="G1670" s="35"/>
      <c r="H1670" s="35"/>
      <c r="I1670" s="35"/>
      <c r="J1670" s="35"/>
      <c r="K1670" s="35"/>
      <c r="L1670" s="35"/>
      <c r="M1670" s="35"/>
    </row>
    <row r="1671" spans="2:13" x14ac:dyDescent="0.35">
      <c r="B1671" s="32"/>
      <c r="C1671" s="35"/>
      <c r="D1671" s="35"/>
      <c r="E1671" s="35"/>
      <c r="F1671" s="35"/>
      <c r="G1671" s="35"/>
      <c r="H1671" s="35"/>
      <c r="I1671" s="35"/>
      <c r="J1671" s="35"/>
      <c r="K1671" s="35"/>
      <c r="L1671" s="35"/>
      <c r="M1671" s="35"/>
    </row>
    <row r="1672" spans="2:13" x14ac:dyDescent="0.35">
      <c r="B1672" s="32"/>
      <c r="C1672" s="35"/>
      <c r="D1672" s="35"/>
      <c r="E1672" s="35"/>
      <c r="F1672" s="35"/>
      <c r="G1672" s="35"/>
      <c r="H1672" s="35"/>
      <c r="I1672" s="35"/>
      <c r="J1672" s="35"/>
      <c r="K1672" s="35"/>
      <c r="L1672" s="35"/>
      <c r="M1672" s="35"/>
    </row>
    <row r="1673" spans="2:13" x14ac:dyDescent="0.35">
      <c r="B1673" s="32"/>
      <c r="C1673" s="35"/>
      <c r="D1673" s="35"/>
      <c r="E1673" s="35"/>
      <c r="F1673" s="35"/>
      <c r="G1673" s="35"/>
      <c r="H1673" s="35"/>
      <c r="I1673" s="35"/>
      <c r="J1673" s="35"/>
      <c r="K1673" s="35"/>
      <c r="L1673" s="35"/>
      <c r="M1673" s="35"/>
    </row>
    <row r="1674" spans="2:13" x14ac:dyDescent="0.35">
      <c r="B1674" s="32"/>
      <c r="C1674" s="35"/>
      <c r="D1674" s="35"/>
      <c r="E1674" s="35"/>
      <c r="F1674" s="35"/>
      <c r="G1674" s="35"/>
      <c r="H1674" s="35"/>
      <c r="I1674" s="35"/>
      <c r="J1674" s="35"/>
      <c r="K1674" s="35"/>
      <c r="L1674" s="35"/>
      <c r="M1674" s="35"/>
    </row>
    <row r="1675" spans="2:13" x14ac:dyDescent="0.35">
      <c r="B1675" s="32"/>
      <c r="C1675" s="35"/>
      <c r="D1675" s="35"/>
      <c r="E1675" s="35"/>
      <c r="F1675" s="35"/>
      <c r="G1675" s="35"/>
      <c r="H1675" s="35"/>
      <c r="I1675" s="35"/>
      <c r="J1675" s="35"/>
      <c r="K1675" s="35"/>
      <c r="L1675" s="35"/>
      <c r="M1675" s="35"/>
    </row>
    <row r="1676" spans="2:13" x14ac:dyDescent="0.35">
      <c r="B1676" s="32"/>
      <c r="C1676" s="35"/>
      <c r="D1676" s="35"/>
      <c r="E1676" s="35"/>
      <c r="F1676" s="35"/>
      <c r="G1676" s="35"/>
      <c r="H1676" s="35"/>
      <c r="I1676" s="35"/>
      <c r="J1676" s="35"/>
      <c r="K1676" s="35"/>
      <c r="L1676" s="35"/>
      <c r="M1676" s="35"/>
    </row>
    <row r="1677" spans="2:13" x14ac:dyDescent="0.35">
      <c r="B1677" s="32"/>
      <c r="C1677" s="35"/>
      <c r="D1677" s="35"/>
      <c r="E1677" s="35"/>
      <c r="F1677" s="35"/>
      <c r="G1677" s="35"/>
      <c r="H1677" s="35"/>
      <c r="I1677" s="35"/>
      <c r="J1677" s="35"/>
      <c r="K1677" s="35"/>
      <c r="L1677" s="35"/>
      <c r="M1677" s="35"/>
    </row>
    <row r="1678" spans="2:13" x14ac:dyDescent="0.35">
      <c r="B1678" s="32"/>
      <c r="C1678" s="35"/>
      <c r="D1678" s="35"/>
      <c r="E1678" s="35"/>
      <c r="F1678" s="35"/>
      <c r="G1678" s="35"/>
      <c r="H1678" s="35"/>
      <c r="I1678" s="35"/>
      <c r="J1678" s="35"/>
      <c r="K1678" s="35"/>
      <c r="L1678" s="35"/>
      <c r="M1678" s="35"/>
    </row>
    <row r="1679" spans="2:13" x14ac:dyDescent="0.35">
      <c r="B1679" s="32"/>
      <c r="C1679" s="35"/>
      <c r="D1679" s="35"/>
      <c r="E1679" s="35"/>
      <c r="F1679" s="35"/>
      <c r="G1679" s="35"/>
      <c r="H1679" s="35"/>
      <c r="I1679" s="35"/>
      <c r="J1679" s="35"/>
      <c r="K1679" s="35"/>
      <c r="L1679" s="35"/>
      <c r="M1679" s="35"/>
    </row>
    <row r="1680" spans="2:13" x14ac:dyDescent="0.35">
      <c r="B1680" s="32"/>
      <c r="C1680" s="35"/>
      <c r="D1680" s="35"/>
      <c r="E1680" s="35"/>
      <c r="F1680" s="35"/>
      <c r="G1680" s="35"/>
      <c r="H1680" s="35"/>
      <c r="I1680" s="35"/>
      <c r="J1680" s="35"/>
      <c r="K1680" s="35"/>
      <c r="L1680" s="35"/>
      <c r="M1680" s="35"/>
    </row>
    <row r="1681" spans="2:13" x14ac:dyDescent="0.35">
      <c r="B1681" s="32"/>
      <c r="C1681" s="35"/>
      <c r="D1681" s="35"/>
      <c r="E1681" s="35"/>
      <c r="F1681" s="35"/>
      <c r="G1681" s="35"/>
      <c r="H1681" s="35"/>
      <c r="I1681" s="35"/>
      <c r="J1681" s="35"/>
      <c r="K1681" s="35"/>
      <c r="L1681" s="35"/>
      <c r="M1681" s="35"/>
    </row>
    <row r="1682" spans="2:13" x14ac:dyDescent="0.35">
      <c r="B1682" s="32"/>
      <c r="C1682" s="35"/>
      <c r="D1682" s="35"/>
      <c r="E1682" s="35"/>
      <c r="F1682" s="35"/>
      <c r="G1682" s="35"/>
      <c r="H1682" s="35"/>
      <c r="I1682" s="35"/>
      <c r="J1682" s="35"/>
      <c r="K1682" s="35"/>
      <c r="L1682" s="35"/>
      <c r="M1682" s="35"/>
    </row>
    <row r="1683" spans="2:13" x14ac:dyDescent="0.35">
      <c r="B1683" s="32"/>
      <c r="C1683" s="35"/>
      <c r="D1683" s="35"/>
      <c r="E1683" s="35"/>
      <c r="F1683" s="35"/>
      <c r="G1683" s="35"/>
      <c r="H1683" s="35"/>
      <c r="I1683" s="35"/>
      <c r="J1683" s="35"/>
      <c r="K1683" s="35"/>
      <c r="L1683" s="35"/>
      <c r="M1683" s="35"/>
    </row>
    <row r="1684" spans="2:13" x14ac:dyDescent="0.35">
      <c r="B1684" s="32"/>
      <c r="C1684" s="35"/>
      <c r="D1684" s="35"/>
      <c r="E1684" s="35"/>
      <c r="F1684" s="35"/>
      <c r="G1684" s="35"/>
      <c r="H1684" s="35"/>
      <c r="I1684" s="35"/>
      <c r="J1684" s="35"/>
      <c r="K1684" s="35"/>
      <c r="L1684" s="35"/>
      <c r="M1684" s="35"/>
    </row>
    <row r="1685" spans="2:13" x14ac:dyDescent="0.35">
      <c r="B1685" s="32"/>
      <c r="C1685" s="35"/>
      <c r="D1685" s="35"/>
      <c r="E1685" s="35"/>
      <c r="F1685" s="35"/>
      <c r="G1685" s="35"/>
      <c r="H1685" s="35"/>
      <c r="I1685" s="35"/>
      <c r="J1685" s="35"/>
      <c r="K1685" s="35"/>
      <c r="L1685" s="35"/>
      <c r="M1685" s="35"/>
    </row>
    <row r="1686" spans="2:13" x14ac:dyDescent="0.35">
      <c r="B1686" s="32"/>
      <c r="C1686" s="35"/>
      <c r="D1686" s="35"/>
      <c r="E1686" s="35"/>
      <c r="F1686" s="35"/>
      <c r="G1686" s="35"/>
      <c r="H1686" s="35"/>
      <c r="I1686" s="35"/>
      <c r="J1686" s="35"/>
      <c r="K1686" s="35"/>
      <c r="L1686" s="35"/>
      <c r="M1686" s="35"/>
    </row>
    <row r="1687" spans="2:13" x14ac:dyDescent="0.35">
      <c r="B1687" s="32"/>
      <c r="C1687" s="35"/>
      <c r="D1687" s="35"/>
      <c r="E1687" s="35"/>
      <c r="F1687" s="35"/>
      <c r="G1687" s="35"/>
      <c r="H1687" s="35"/>
      <c r="I1687" s="35"/>
      <c r="J1687" s="35"/>
      <c r="K1687" s="35"/>
      <c r="L1687" s="35"/>
      <c r="M1687" s="35"/>
    </row>
    <row r="1688" spans="2:13" x14ac:dyDescent="0.35">
      <c r="B1688" s="32"/>
      <c r="C1688" s="35"/>
      <c r="D1688" s="35"/>
      <c r="E1688" s="35"/>
      <c r="F1688" s="35"/>
      <c r="G1688" s="35"/>
      <c r="H1688" s="35"/>
      <c r="I1688" s="35"/>
      <c r="J1688" s="35"/>
      <c r="K1688" s="35"/>
      <c r="L1688" s="35"/>
      <c r="M1688" s="35"/>
    </row>
    <row r="1689" spans="2:13" x14ac:dyDescent="0.35">
      <c r="B1689" s="32"/>
      <c r="C1689" s="35"/>
      <c r="D1689" s="35"/>
      <c r="E1689" s="35"/>
      <c r="F1689" s="35"/>
      <c r="G1689" s="35"/>
      <c r="H1689" s="35"/>
      <c r="I1689" s="35"/>
      <c r="J1689" s="35"/>
      <c r="K1689" s="35"/>
      <c r="L1689" s="35"/>
      <c r="M1689" s="35"/>
    </row>
    <row r="1690" spans="2:13" x14ac:dyDescent="0.35">
      <c r="B1690" s="32"/>
      <c r="C1690" s="35"/>
      <c r="D1690" s="35"/>
      <c r="E1690" s="35"/>
      <c r="F1690" s="35"/>
      <c r="G1690" s="35"/>
      <c r="H1690" s="35"/>
      <c r="I1690" s="35"/>
      <c r="J1690" s="35"/>
      <c r="K1690" s="35"/>
      <c r="L1690" s="35"/>
      <c r="M1690" s="35"/>
    </row>
    <row r="1691" spans="2:13" x14ac:dyDescent="0.35">
      <c r="B1691" s="32"/>
      <c r="C1691" s="35"/>
      <c r="D1691" s="35"/>
      <c r="E1691" s="35"/>
      <c r="F1691" s="35"/>
      <c r="G1691" s="35"/>
      <c r="H1691" s="35"/>
      <c r="I1691" s="35"/>
      <c r="J1691" s="35"/>
      <c r="K1691" s="35"/>
      <c r="L1691" s="35"/>
      <c r="M1691" s="35"/>
    </row>
    <row r="1692" spans="2:13" x14ac:dyDescent="0.35">
      <c r="B1692" s="32"/>
      <c r="C1692" s="35"/>
      <c r="D1692" s="35"/>
      <c r="E1692" s="35"/>
      <c r="F1692" s="35"/>
      <c r="G1692" s="35"/>
      <c r="H1692" s="35"/>
      <c r="I1692" s="35"/>
      <c r="J1692" s="35"/>
      <c r="K1692" s="35"/>
      <c r="L1692" s="35"/>
      <c r="M1692" s="35"/>
    </row>
    <row r="1693" spans="2:13" x14ac:dyDescent="0.35">
      <c r="B1693" s="32"/>
      <c r="C1693" s="35"/>
      <c r="D1693" s="35"/>
      <c r="E1693" s="35"/>
      <c r="F1693" s="35"/>
      <c r="G1693" s="35"/>
      <c r="H1693" s="35"/>
      <c r="I1693" s="35"/>
      <c r="J1693" s="35"/>
      <c r="K1693" s="35"/>
      <c r="L1693" s="35"/>
      <c r="M1693" s="35"/>
    </row>
    <row r="1694" spans="2:13" x14ac:dyDescent="0.35">
      <c r="B1694" s="32"/>
      <c r="C1694" s="35"/>
      <c r="D1694" s="35"/>
      <c r="E1694" s="35"/>
      <c r="F1694" s="35"/>
      <c r="G1694" s="35"/>
      <c r="H1694" s="35"/>
      <c r="I1694" s="35"/>
      <c r="J1694" s="35"/>
      <c r="K1694" s="35"/>
      <c r="L1694" s="35"/>
      <c r="M1694" s="35"/>
    </row>
    <row r="1695" spans="2:13" x14ac:dyDescent="0.35">
      <c r="B1695" s="32"/>
      <c r="C1695" s="35"/>
      <c r="D1695" s="35"/>
      <c r="E1695" s="35"/>
      <c r="F1695" s="35"/>
      <c r="G1695" s="35"/>
      <c r="H1695" s="35"/>
      <c r="I1695" s="35"/>
      <c r="J1695" s="35"/>
      <c r="K1695" s="35"/>
      <c r="L1695" s="35"/>
      <c r="M1695" s="35"/>
    </row>
    <row r="1696" spans="2:13" x14ac:dyDescent="0.35">
      <c r="B1696" s="32"/>
      <c r="C1696" s="35"/>
      <c r="D1696" s="35"/>
      <c r="E1696" s="35"/>
      <c r="F1696" s="35"/>
      <c r="G1696" s="35"/>
      <c r="H1696" s="35"/>
      <c r="I1696" s="35"/>
      <c r="J1696" s="35"/>
      <c r="K1696" s="35"/>
      <c r="L1696" s="35"/>
      <c r="M1696" s="35"/>
    </row>
    <row r="1697" spans="2:13" x14ac:dyDescent="0.35">
      <c r="B1697" s="32"/>
      <c r="C1697" s="35"/>
      <c r="D1697" s="35"/>
      <c r="E1697" s="35"/>
      <c r="F1697" s="35"/>
      <c r="G1697" s="35"/>
      <c r="H1697" s="35"/>
      <c r="I1697" s="35"/>
      <c r="J1697" s="35"/>
      <c r="K1697" s="35"/>
      <c r="L1697" s="35"/>
      <c r="M1697" s="35"/>
    </row>
    <row r="1698" spans="2:13" x14ac:dyDescent="0.35">
      <c r="B1698" s="32"/>
      <c r="C1698" s="35"/>
      <c r="D1698" s="35"/>
      <c r="E1698" s="35"/>
      <c r="F1698" s="35"/>
      <c r="G1698" s="35"/>
      <c r="H1698" s="35"/>
      <c r="I1698" s="35"/>
      <c r="J1698" s="35"/>
      <c r="K1698" s="35"/>
      <c r="L1698" s="35"/>
      <c r="M1698" s="35"/>
    </row>
    <row r="1699" spans="2:13" x14ac:dyDescent="0.35">
      <c r="B1699" s="32"/>
      <c r="C1699" s="35"/>
      <c r="D1699" s="35"/>
      <c r="E1699" s="35"/>
      <c r="F1699" s="35"/>
      <c r="G1699" s="35"/>
      <c r="H1699" s="35"/>
      <c r="I1699" s="35"/>
      <c r="J1699" s="35"/>
      <c r="K1699" s="35"/>
      <c r="L1699" s="35"/>
      <c r="M1699" s="35"/>
    </row>
    <row r="1700" spans="2:13" x14ac:dyDescent="0.35">
      <c r="B1700" s="32"/>
      <c r="C1700" s="35"/>
      <c r="D1700" s="35"/>
      <c r="E1700" s="35"/>
      <c r="F1700" s="35"/>
      <c r="G1700" s="35"/>
      <c r="H1700" s="35"/>
      <c r="I1700" s="35"/>
      <c r="J1700" s="35"/>
      <c r="K1700" s="35"/>
      <c r="L1700" s="35"/>
      <c r="M1700" s="35"/>
    </row>
    <row r="1701" spans="2:13" x14ac:dyDescent="0.35">
      <c r="B1701" s="32"/>
      <c r="C1701" s="35"/>
      <c r="D1701" s="35"/>
      <c r="E1701" s="35"/>
      <c r="F1701" s="35"/>
      <c r="G1701" s="35"/>
      <c r="H1701" s="35"/>
      <c r="I1701" s="35"/>
      <c r="J1701" s="35"/>
      <c r="K1701" s="35"/>
      <c r="L1701" s="35"/>
      <c r="M1701" s="35"/>
    </row>
    <row r="1702" spans="2:13" x14ac:dyDescent="0.35">
      <c r="B1702" s="32"/>
      <c r="C1702" s="35"/>
      <c r="D1702" s="35"/>
      <c r="E1702" s="35"/>
      <c r="F1702" s="35"/>
      <c r="G1702" s="35"/>
      <c r="H1702" s="35"/>
      <c r="I1702" s="35"/>
      <c r="J1702" s="35"/>
      <c r="K1702" s="35"/>
      <c r="L1702" s="35"/>
      <c r="M1702" s="35"/>
    </row>
    <row r="1703" spans="2:13" x14ac:dyDescent="0.35">
      <c r="B1703" s="32"/>
      <c r="C1703" s="35"/>
      <c r="D1703" s="35"/>
      <c r="E1703" s="35"/>
      <c r="F1703" s="35"/>
      <c r="G1703" s="35"/>
      <c r="H1703" s="35"/>
      <c r="I1703" s="35"/>
      <c r="J1703" s="35"/>
      <c r="K1703" s="35"/>
      <c r="L1703" s="35"/>
      <c r="M1703" s="35"/>
    </row>
    <row r="1704" spans="2:13" x14ac:dyDescent="0.35">
      <c r="B1704" s="32"/>
      <c r="C1704" s="35"/>
      <c r="D1704" s="35"/>
      <c r="E1704" s="35"/>
      <c r="F1704" s="35"/>
      <c r="G1704" s="35"/>
      <c r="H1704" s="35"/>
      <c r="I1704" s="35"/>
      <c r="J1704" s="35"/>
      <c r="K1704" s="35"/>
      <c r="L1704" s="35"/>
      <c r="M1704" s="35"/>
    </row>
    <row r="1705" spans="2:13" x14ac:dyDescent="0.35">
      <c r="B1705" s="32"/>
      <c r="C1705" s="35"/>
      <c r="D1705" s="35"/>
      <c r="E1705" s="35"/>
      <c r="F1705" s="35"/>
      <c r="G1705" s="35"/>
      <c r="H1705" s="35"/>
      <c r="I1705" s="35"/>
      <c r="J1705" s="35"/>
      <c r="K1705" s="35"/>
      <c r="L1705" s="35"/>
      <c r="M1705" s="35"/>
    </row>
    <row r="1706" spans="2:13" x14ac:dyDescent="0.35">
      <c r="B1706" s="32"/>
      <c r="C1706" s="35"/>
      <c r="D1706" s="35"/>
      <c r="E1706" s="35"/>
      <c r="F1706" s="35"/>
      <c r="G1706" s="35"/>
      <c r="H1706" s="35"/>
      <c r="I1706" s="35"/>
      <c r="J1706" s="35"/>
      <c r="K1706" s="35"/>
      <c r="L1706" s="35"/>
      <c r="M1706" s="35"/>
    </row>
    <row r="1707" spans="2:13" x14ac:dyDescent="0.35">
      <c r="B1707" s="32"/>
      <c r="C1707" s="35"/>
      <c r="D1707" s="35"/>
      <c r="E1707" s="35"/>
      <c r="F1707" s="35"/>
      <c r="G1707" s="35"/>
      <c r="H1707" s="35"/>
      <c r="I1707" s="35"/>
      <c r="J1707" s="35"/>
      <c r="K1707" s="35"/>
      <c r="L1707" s="35"/>
      <c r="M1707" s="35"/>
    </row>
    <row r="1708" spans="2:13" x14ac:dyDescent="0.35">
      <c r="B1708" s="32"/>
      <c r="C1708" s="35"/>
      <c r="D1708" s="35"/>
      <c r="E1708" s="35"/>
      <c r="F1708" s="35"/>
      <c r="G1708" s="35"/>
      <c r="H1708" s="35"/>
      <c r="I1708" s="35"/>
      <c r="J1708" s="35"/>
      <c r="K1708" s="35"/>
      <c r="L1708" s="35"/>
      <c r="M1708" s="35"/>
    </row>
    <row r="1709" spans="2:13" x14ac:dyDescent="0.35">
      <c r="B1709" s="32"/>
      <c r="C1709" s="35"/>
      <c r="D1709" s="35"/>
      <c r="E1709" s="35"/>
      <c r="F1709" s="35"/>
      <c r="G1709" s="35"/>
      <c r="H1709" s="35"/>
      <c r="I1709" s="35"/>
      <c r="J1709" s="35"/>
      <c r="K1709" s="35"/>
      <c r="L1709" s="35"/>
      <c r="M1709" s="35"/>
    </row>
    <row r="1710" spans="2:13" x14ac:dyDescent="0.35">
      <c r="B1710" s="32"/>
      <c r="C1710" s="35"/>
      <c r="D1710" s="35"/>
      <c r="E1710" s="35"/>
      <c r="F1710" s="35"/>
      <c r="G1710" s="35"/>
      <c r="H1710" s="35"/>
      <c r="I1710" s="35"/>
      <c r="J1710" s="35"/>
      <c r="K1710" s="35"/>
      <c r="L1710" s="35"/>
      <c r="M1710" s="35"/>
    </row>
    <row r="1711" spans="2:13" x14ac:dyDescent="0.35">
      <c r="B1711" s="32"/>
      <c r="C1711" s="35"/>
      <c r="D1711" s="35"/>
      <c r="E1711" s="35"/>
      <c r="F1711" s="35"/>
      <c r="G1711" s="35"/>
      <c r="H1711" s="35"/>
      <c r="I1711" s="35"/>
      <c r="J1711" s="35"/>
      <c r="K1711" s="35"/>
      <c r="L1711" s="35"/>
      <c r="M1711" s="35"/>
    </row>
    <row r="1712" spans="2:13" x14ac:dyDescent="0.35">
      <c r="B1712" s="32"/>
      <c r="C1712" s="35"/>
      <c r="D1712" s="35"/>
      <c r="E1712" s="35"/>
      <c r="F1712" s="35"/>
      <c r="G1712" s="35"/>
      <c r="H1712" s="35"/>
      <c r="I1712" s="35"/>
      <c r="J1712" s="35"/>
      <c r="K1712" s="35"/>
      <c r="L1712" s="35"/>
      <c r="M1712" s="35"/>
    </row>
    <row r="1713" spans="2:13" x14ac:dyDescent="0.35">
      <c r="B1713" s="32"/>
      <c r="C1713" s="35"/>
      <c r="D1713" s="35"/>
      <c r="E1713" s="35"/>
      <c r="F1713" s="35"/>
      <c r="G1713" s="35"/>
      <c r="H1713" s="35"/>
      <c r="I1713" s="35"/>
      <c r="J1713" s="35"/>
      <c r="K1713" s="35"/>
      <c r="L1713" s="35"/>
      <c r="M1713" s="35"/>
    </row>
    <row r="1714" spans="2:13" x14ac:dyDescent="0.35">
      <c r="B1714" s="32"/>
      <c r="C1714" s="35"/>
      <c r="D1714" s="35"/>
      <c r="E1714" s="35"/>
      <c r="F1714" s="35"/>
      <c r="G1714" s="35"/>
      <c r="H1714" s="35"/>
      <c r="I1714" s="35"/>
      <c r="J1714" s="35"/>
      <c r="K1714" s="35"/>
      <c r="L1714" s="35"/>
      <c r="M1714" s="35"/>
    </row>
    <row r="1715" spans="2:13" x14ac:dyDescent="0.35">
      <c r="B1715" s="32"/>
      <c r="C1715" s="35"/>
      <c r="D1715" s="35"/>
      <c r="E1715" s="35"/>
      <c r="F1715" s="35"/>
      <c r="G1715" s="35"/>
      <c r="H1715" s="35"/>
      <c r="I1715" s="35"/>
      <c r="J1715" s="35"/>
      <c r="K1715" s="35"/>
      <c r="L1715" s="35"/>
      <c r="M1715" s="35"/>
    </row>
    <row r="1716" spans="2:13" x14ac:dyDescent="0.35">
      <c r="B1716" s="32"/>
      <c r="C1716" s="35"/>
      <c r="D1716" s="35"/>
      <c r="E1716" s="35"/>
      <c r="F1716" s="35"/>
      <c r="G1716" s="35"/>
      <c r="H1716" s="35"/>
      <c r="I1716" s="35"/>
      <c r="J1716" s="35"/>
      <c r="K1716" s="35"/>
      <c r="L1716" s="35"/>
      <c r="M1716" s="35"/>
    </row>
    <row r="1717" spans="2:13" x14ac:dyDescent="0.35">
      <c r="B1717" s="32"/>
      <c r="C1717" s="35"/>
      <c r="D1717" s="35"/>
      <c r="E1717" s="35"/>
      <c r="F1717" s="35"/>
      <c r="G1717" s="35"/>
      <c r="H1717" s="35"/>
      <c r="I1717" s="35"/>
      <c r="J1717" s="35"/>
      <c r="K1717" s="35"/>
      <c r="L1717" s="35"/>
      <c r="M1717" s="35"/>
    </row>
    <row r="1718" spans="2:13" x14ac:dyDescent="0.35">
      <c r="B1718" s="32"/>
      <c r="C1718" s="35"/>
      <c r="D1718" s="35"/>
      <c r="E1718" s="35"/>
      <c r="F1718" s="35"/>
      <c r="G1718" s="35"/>
      <c r="H1718" s="35"/>
      <c r="I1718" s="35"/>
      <c r="J1718" s="35"/>
      <c r="K1718" s="35"/>
      <c r="L1718" s="35"/>
      <c r="M1718" s="35"/>
    </row>
    <row r="1719" spans="2:13" x14ac:dyDescent="0.35">
      <c r="B1719" s="32"/>
      <c r="C1719" s="35"/>
      <c r="D1719" s="35"/>
      <c r="E1719" s="35"/>
      <c r="F1719" s="35"/>
      <c r="G1719" s="35"/>
      <c r="H1719" s="35"/>
      <c r="I1719" s="35"/>
      <c r="J1719" s="35"/>
      <c r="K1719" s="35"/>
      <c r="L1719" s="35"/>
      <c r="M1719" s="35"/>
    </row>
    <row r="1720" spans="2:13" x14ac:dyDescent="0.35">
      <c r="B1720" s="32"/>
      <c r="C1720" s="35"/>
      <c r="D1720" s="35"/>
      <c r="E1720" s="35"/>
      <c r="F1720" s="35"/>
      <c r="G1720" s="35"/>
      <c r="H1720" s="35"/>
      <c r="I1720" s="35"/>
      <c r="J1720" s="35"/>
      <c r="K1720" s="35"/>
      <c r="L1720" s="35"/>
      <c r="M1720" s="35"/>
    </row>
    <row r="1721" spans="2:13" x14ac:dyDescent="0.35">
      <c r="B1721" s="32"/>
      <c r="C1721" s="35"/>
      <c r="D1721" s="35"/>
      <c r="E1721" s="35"/>
      <c r="F1721" s="35"/>
      <c r="G1721" s="35"/>
      <c r="H1721" s="35"/>
      <c r="I1721" s="35"/>
      <c r="J1721" s="35"/>
      <c r="K1721" s="35"/>
      <c r="L1721" s="35"/>
      <c r="M1721" s="35"/>
    </row>
    <row r="1722" spans="2:13" x14ac:dyDescent="0.35">
      <c r="B1722" s="32"/>
      <c r="C1722" s="35"/>
      <c r="D1722" s="35"/>
      <c r="E1722" s="35"/>
      <c r="F1722" s="35"/>
      <c r="G1722" s="35"/>
      <c r="H1722" s="35"/>
      <c r="I1722" s="35"/>
      <c r="J1722" s="35"/>
      <c r="K1722" s="35"/>
      <c r="L1722" s="35"/>
      <c r="M1722" s="35"/>
    </row>
    <row r="1723" spans="2:13" x14ac:dyDescent="0.35">
      <c r="B1723" s="32"/>
      <c r="C1723" s="35"/>
      <c r="D1723" s="35"/>
      <c r="E1723" s="35"/>
      <c r="F1723" s="35"/>
      <c r="G1723" s="35"/>
      <c r="H1723" s="35"/>
      <c r="I1723" s="35"/>
      <c r="J1723" s="35"/>
      <c r="K1723" s="35"/>
      <c r="L1723" s="35"/>
      <c r="M1723" s="35"/>
    </row>
    <row r="1724" spans="2:13" x14ac:dyDescent="0.35">
      <c r="B1724" s="32"/>
      <c r="C1724" s="35"/>
      <c r="D1724" s="35"/>
      <c r="E1724" s="35"/>
      <c r="F1724" s="35"/>
      <c r="G1724" s="35"/>
      <c r="H1724" s="35"/>
      <c r="I1724" s="35"/>
      <c r="J1724" s="35"/>
      <c r="K1724" s="35"/>
      <c r="L1724" s="35"/>
      <c r="M1724" s="35"/>
    </row>
    <row r="1725" spans="2:13" x14ac:dyDescent="0.35">
      <c r="B1725" s="32"/>
      <c r="C1725" s="35"/>
      <c r="D1725" s="35"/>
      <c r="E1725" s="35"/>
      <c r="F1725" s="35"/>
      <c r="G1725" s="35"/>
      <c r="H1725" s="35"/>
      <c r="I1725" s="35"/>
      <c r="J1725" s="35"/>
      <c r="K1725" s="35"/>
      <c r="L1725" s="35"/>
      <c r="M1725" s="35"/>
    </row>
    <row r="1726" spans="2:13" x14ac:dyDescent="0.35">
      <c r="B1726" s="32"/>
      <c r="C1726" s="35"/>
      <c r="D1726" s="35"/>
      <c r="E1726" s="35"/>
      <c r="F1726" s="35"/>
      <c r="G1726" s="35"/>
      <c r="H1726" s="35"/>
      <c r="I1726" s="35"/>
      <c r="J1726" s="35"/>
      <c r="K1726" s="35"/>
      <c r="L1726" s="35"/>
      <c r="M1726" s="35"/>
    </row>
    <row r="1727" spans="2:13" x14ac:dyDescent="0.35">
      <c r="B1727" s="32"/>
      <c r="C1727" s="35"/>
      <c r="D1727" s="35"/>
      <c r="E1727" s="35"/>
      <c r="F1727" s="35"/>
      <c r="G1727" s="35"/>
      <c r="H1727" s="35"/>
      <c r="I1727" s="35"/>
      <c r="J1727" s="35"/>
      <c r="K1727" s="35"/>
      <c r="L1727" s="35"/>
      <c r="M1727" s="35"/>
    </row>
    <row r="1728" spans="2:13" x14ac:dyDescent="0.35">
      <c r="B1728" s="32"/>
      <c r="C1728" s="35"/>
      <c r="D1728" s="35"/>
      <c r="E1728" s="35"/>
      <c r="F1728" s="35"/>
      <c r="G1728" s="35"/>
      <c r="H1728" s="35"/>
      <c r="I1728" s="35"/>
      <c r="J1728" s="35"/>
      <c r="K1728" s="35"/>
      <c r="L1728" s="35"/>
      <c r="M1728" s="35"/>
    </row>
    <row r="1729" spans="2:13" x14ac:dyDescent="0.35">
      <c r="B1729" s="32"/>
      <c r="C1729" s="35"/>
      <c r="D1729" s="35"/>
      <c r="E1729" s="35"/>
      <c r="F1729" s="35"/>
      <c r="G1729" s="35"/>
      <c r="H1729" s="35"/>
      <c r="I1729" s="35"/>
      <c r="J1729" s="35"/>
      <c r="K1729" s="35"/>
      <c r="L1729" s="35"/>
      <c r="M1729" s="35"/>
    </row>
    <row r="1730" spans="2:13" x14ac:dyDescent="0.35">
      <c r="B1730" s="32"/>
      <c r="C1730" s="35"/>
      <c r="D1730" s="35"/>
      <c r="E1730" s="35"/>
      <c r="F1730" s="35"/>
      <c r="G1730" s="35"/>
      <c r="H1730" s="35"/>
      <c r="I1730" s="35"/>
      <c r="J1730" s="35"/>
      <c r="K1730" s="35"/>
      <c r="L1730" s="35"/>
      <c r="M1730" s="35"/>
    </row>
    <row r="1731" spans="2:13" x14ac:dyDescent="0.35">
      <c r="B1731" s="32"/>
      <c r="C1731" s="35"/>
      <c r="D1731" s="35"/>
      <c r="E1731" s="35"/>
      <c r="F1731" s="35"/>
      <c r="G1731" s="35"/>
      <c r="H1731" s="35"/>
      <c r="I1731" s="35"/>
      <c r="J1731" s="35"/>
      <c r="K1731" s="35"/>
      <c r="L1731" s="35"/>
      <c r="M1731" s="35"/>
    </row>
    <row r="1732" spans="2:13" x14ac:dyDescent="0.35">
      <c r="B1732" s="32"/>
      <c r="C1732" s="35"/>
      <c r="D1732" s="35"/>
      <c r="E1732" s="35"/>
      <c r="F1732" s="35"/>
      <c r="G1732" s="35"/>
      <c r="H1732" s="35"/>
      <c r="I1732" s="35"/>
      <c r="J1732" s="35"/>
      <c r="K1732" s="35"/>
      <c r="L1732" s="35"/>
      <c r="M1732" s="35"/>
    </row>
    <row r="1733" spans="2:13" x14ac:dyDescent="0.35">
      <c r="B1733" s="32"/>
      <c r="C1733" s="35"/>
      <c r="D1733" s="35"/>
      <c r="E1733" s="35"/>
      <c r="F1733" s="35"/>
      <c r="G1733" s="35"/>
      <c r="H1733" s="35"/>
      <c r="I1733" s="35"/>
      <c r="J1733" s="35"/>
      <c r="K1733" s="35"/>
      <c r="L1733" s="35"/>
      <c r="M1733" s="35"/>
    </row>
    <row r="1734" spans="2:13" x14ac:dyDescent="0.35">
      <c r="B1734" s="32"/>
      <c r="C1734" s="35"/>
      <c r="D1734" s="35"/>
      <c r="E1734" s="35"/>
      <c r="F1734" s="35"/>
      <c r="G1734" s="35"/>
      <c r="H1734" s="35"/>
      <c r="I1734" s="35"/>
      <c r="J1734" s="35"/>
      <c r="K1734" s="35"/>
      <c r="L1734" s="35"/>
      <c r="M1734" s="35"/>
    </row>
    <row r="1735" spans="2:13" x14ac:dyDescent="0.35">
      <c r="B1735" s="32"/>
      <c r="C1735" s="35"/>
      <c r="D1735" s="35"/>
      <c r="E1735" s="35"/>
      <c r="F1735" s="35"/>
      <c r="G1735" s="35"/>
      <c r="H1735" s="35"/>
      <c r="I1735" s="35"/>
      <c r="J1735" s="35"/>
      <c r="K1735" s="35"/>
      <c r="L1735" s="35"/>
      <c r="M1735" s="35"/>
    </row>
    <row r="1736" spans="2:13" x14ac:dyDescent="0.35">
      <c r="B1736" s="32"/>
      <c r="C1736" s="35"/>
      <c r="D1736" s="35"/>
      <c r="E1736" s="35"/>
      <c r="F1736" s="35"/>
      <c r="G1736" s="35"/>
      <c r="H1736" s="35"/>
      <c r="I1736" s="35"/>
      <c r="J1736" s="35"/>
      <c r="K1736" s="35"/>
      <c r="L1736" s="35"/>
      <c r="M1736" s="35"/>
    </row>
    <row r="1737" spans="2:13" x14ac:dyDescent="0.35">
      <c r="B1737" s="32"/>
      <c r="C1737" s="35"/>
      <c r="D1737" s="35"/>
      <c r="E1737" s="35"/>
      <c r="F1737" s="35"/>
      <c r="G1737" s="35"/>
      <c r="H1737" s="35"/>
      <c r="I1737" s="35"/>
      <c r="J1737" s="35"/>
      <c r="K1737" s="35"/>
      <c r="L1737" s="35"/>
      <c r="M1737" s="35"/>
    </row>
    <row r="1738" spans="2:13" x14ac:dyDescent="0.35">
      <c r="B1738" s="32"/>
      <c r="C1738" s="35"/>
      <c r="D1738" s="35"/>
      <c r="E1738" s="35"/>
      <c r="F1738" s="35"/>
      <c r="G1738" s="35"/>
      <c r="H1738" s="35"/>
      <c r="I1738" s="35"/>
      <c r="J1738" s="35"/>
      <c r="K1738" s="35"/>
      <c r="L1738" s="35"/>
      <c r="M1738" s="35"/>
    </row>
    <row r="1739" spans="2:13" x14ac:dyDescent="0.35">
      <c r="B1739" s="32"/>
      <c r="C1739" s="35"/>
      <c r="D1739" s="35"/>
      <c r="E1739" s="35"/>
      <c r="F1739" s="35"/>
      <c r="G1739" s="35"/>
      <c r="H1739" s="35"/>
      <c r="I1739" s="35"/>
      <c r="J1739" s="35"/>
      <c r="K1739" s="35"/>
      <c r="L1739" s="35"/>
      <c r="M1739" s="35"/>
    </row>
    <row r="1740" spans="2:13" x14ac:dyDescent="0.35">
      <c r="B1740" s="32"/>
      <c r="C1740" s="35"/>
      <c r="D1740" s="35"/>
      <c r="E1740" s="35"/>
      <c r="F1740" s="35"/>
      <c r="G1740" s="35"/>
      <c r="H1740" s="35"/>
      <c r="I1740" s="35"/>
      <c r="J1740" s="35"/>
      <c r="K1740" s="35"/>
      <c r="L1740" s="35"/>
      <c r="M1740" s="35"/>
    </row>
    <row r="1741" spans="2:13" x14ac:dyDescent="0.35">
      <c r="B1741" s="32"/>
      <c r="C1741" s="35"/>
      <c r="D1741" s="35"/>
      <c r="E1741" s="35"/>
      <c r="F1741" s="35"/>
      <c r="G1741" s="35"/>
      <c r="H1741" s="35"/>
      <c r="I1741" s="35"/>
      <c r="J1741" s="35"/>
      <c r="K1741" s="35"/>
      <c r="L1741" s="35"/>
      <c r="M1741" s="35"/>
    </row>
    <row r="1742" spans="2:13" x14ac:dyDescent="0.35">
      <c r="B1742" s="32"/>
      <c r="C1742" s="35"/>
      <c r="D1742" s="35"/>
      <c r="E1742" s="35"/>
      <c r="F1742" s="35"/>
      <c r="G1742" s="35"/>
      <c r="H1742" s="35"/>
      <c r="I1742" s="35"/>
      <c r="J1742" s="35"/>
      <c r="K1742" s="35"/>
      <c r="L1742" s="35"/>
      <c r="M1742" s="35"/>
    </row>
    <row r="1743" spans="2:13" x14ac:dyDescent="0.35">
      <c r="B1743" s="32"/>
      <c r="C1743" s="35"/>
      <c r="D1743" s="35"/>
      <c r="E1743" s="35"/>
      <c r="F1743" s="35"/>
      <c r="G1743" s="35"/>
      <c r="H1743" s="35"/>
      <c r="I1743" s="35"/>
      <c r="J1743" s="35"/>
      <c r="K1743" s="35"/>
      <c r="L1743" s="35"/>
      <c r="M1743" s="35"/>
    </row>
    <row r="1744" spans="2:13" x14ac:dyDescent="0.35">
      <c r="B1744" s="32"/>
      <c r="C1744" s="35"/>
      <c r="D1744" s="35"/>
      <c r="E1744" s="35"/>
      <c r="F1744" s="35"/>
      <c r="G1744" s="35"/>
      <c r="H1744" s="35"/>
      <c r="I1744" s="35"/>
      <c r="J1744" s="35"/>
      <c r="K1744" s="35"/>
      <c r="L1744" s="35"/>
      <c r="M1744" s="35"/>
    </row>
    <row r="1745" spans="2:13" x14ac:dyDescent="0.35">
      <c r="B1745" s="32"/>
      <c r="C1745" s="35"/>
      <c r="D1745" s="35"/>
      <c r="E1745" s="35"/>
      <c r="F1745" s="35"/>
      <c r="G1745" s="35"/>
      <c r="H1745" s="35"/>
      <c r="I1745" s="35"/>
      <c r="J1745" s="35"/>
      <c r="K1745" s="35"/>
      <c r="L1745" s="35"/>
      <c r="M1745" s="35"/>
    </row>
    <row r="1746" spans="2:13" x14ac:dyDescent="0.35">
      <c r="B1746" s="32"/>
      <c r="C1746" s="35"/>
      <c r="D1746" s="35"/>
      <c r="E1746" s="35"/>
      <c r="F1746" s="35"/>
      <c r="G1746" s="35"/>
      <c r="H1746" s="35"/>
      <c r="I1746" s="35"/>
      <c r="J1746" s="35"/>
      <c r="K1746" s="35"/>
      <c r="L1746" s="35"/>
      <c r="M1746" s="35"/>
    </row>
    <row r="1747" spans="2:13" x14ac:dyDescent="0.35">
      <c r="B1747" s="32"/>
      <c r="C1747" s="35"/>
      <c r="D1747" s="35"/>
      <c r="E1747" s="35"/>
      <c r="F1747" s="35"/>
      <c r="G1747" s="35"/>
      <c r="H1747" s="35"/>
      <c r="I1747" s="35"/>
      <c r="J1747" s="35"/>
      <c r="K1747" s="35"/>
      <c r="L1747" s="35"/>
      <c r="M1747" s="35"/>
    </row>
    <row r="1748" spans="2:13" x14ac:dyDescent="0.35">
      <c r="B1748" s="32"/>
      <c r="C1748" s="35"/>
      <c r="D1748" s="35"/>
      <c r="E1748" s="35"/>
      <c r="F1748" s="35"/>
      <c r="G1748" s="35"/>
      <c r="H1748" s="35"/>
      <c r="I1748" s="35"/>
      <c r="J1748" s="35"/>
      <c r="K1748" s="35"/>
      <c r="L1748" s="35"/>
      <c r="M1748" s="35"/>
    </row>
    <row r="1749" spans="2:13" x14ac:dyDescent="0.35">
      <c r="B1749" s="32"/>
      <c r="C1749" s="35"/>
      <c r="D1749" s="35"/>
      <c r="E1749" s="35"/>
      <c r="F1749" s="35"/>
      <c r="G1749" s="35"/>
      <c r="H1749" s="35"/>
      <c r="I1749" s="35"/>
      <c r="J1749" s="35"/>
      <c r="K1749" s="35"/>
      <c r="L1749" s="35"/>
      <c r="M1749" s="35"/>
    </row>
    <row r="1750" spans="2:13" x14ac:dyDescent="0.35">
      <c r="B1750" s="32"/>
      <c r="C1750" s="35"/>
      <c r="D1750" s="35"/>
      <c r="E1750" s="35"/>
      <c r="F1750" s="35"/>
      <c r="G1750" s="35"/>
      <c r="H1750" s="35"/>
      <c r="I1750" s="35"/>
      <c r="J1750" s="35"/>
      <c r="K1750" s="35"/>
      <c r="L1750" s="35"/>
      <c r="M1750" s="35"/>
    </row>
    <row r="1751" spans="2:13" x14ac:dyDescent="0.35">
      <c r="B1751" s="32"/>
      <c r="C1751" s="35"/>
      <c r="D1751" s="35"/>
      <c r="E1751" s="35"/>
      <c r="F1751" s="35"/>
      <c r="G1751" s="35"/>
      <c r="H1751" s="35"/>
      <c r="I1751" s="35"/>
      <c r="J1751" s="35"/>
      <c r="K1751" s="35"/>
      <c r="L1751" s="35"/>
      <c r="M1751" s="35"/>
    </row>
    <row r="1752" spans="2:13" x14ac:dyDescent="0.35">
      <c r="B1752" s="32"/>
      <c r="C1752" s="35"/>
      <c r="D1752" s="35"/>
      <c r="E1752" s="35"/>
      <c r="F1752" s="35"/>
      <c r="G1752" s="35"/>
      <c r="H1752" s="35"/>
      <c r="I1752" s="35"/>
      <c r="J1752" s="35"/>
      <c r="K1752" s="35"/>
      <c r="L1752" s="35"/>
      <c r="M1752" s="35"/>
    </row>
    <row r="1753" spans="2:13" x14ac:dyDescent="0.35">
      <c r="B1753" s="32"/>
      <c r="C1753" s="35"/>
      <c r="D1753" s="35"/>
      <c r="E1753" s="35"/>
      <c r="F1753" s="35"/>
      <c r="G1753" s="35"/>
      <c r="H1753" s="35"/>
      <c r="I1753" s="35"/>
      <c r="J1753" s="35"/>
      <c r="K1753" s="35"/>
      <c r="L1753" s="35"/>
      <c r="M1753" s="35"/>
    </row>
    <row r="1754" spans="2:13" x14ac:dyDescent="0.35">
      <c r="B1754" s="32"/>
      <c r="C1754" s="35"/>
      <c r="D1754" s="35"/>
      <c r="E1754" s="35"/>
      <c r="F1754" s="35"/>
      <c r="G1754" s="35"/>
      <c r="H1754" s="35"/>
      <c r="I1754" s="35"/>
      <c r="J1754" s="35"/>
      <c r="K1754" s="35"/>
      <c r="L1754" s="35"/>
      <c r="M1754" s="35"/>
    </row>
    <row r="1755" spans="2:13" x14ac:dyDescent="0.35">
      <c r="B1755" s="32"/>
      <c r="C1755" s="35"/>
      <c r="D1755" s="35"/>
      <c r="E1755" s="35"/>
      <c r="F1755" s="35"/>
      <c r="G1755" s="35"/>
      <c r="H1755" s="35"/>
      <c r="I1755" s="35"/>
      <c r="J1755" s="35"/>
      <c r="K1755" s="35"/>
      <c r="L1755" s="35"/>
      <c r="M1755" s="35"/>
    </row>
    <row r="1756" spans="2:13" x14ac:dyDescent="0.35">
      <c r="B1756" s="32"/>
      <c r="C1756" s="35"/>
      <c r="D1756" s="35"/>
      <c r="E1756" s="35"/>
      <c r="F1756" s="35"/>
      <c r="G1756" s="35"/>
      <c r="H1756" s="35"/>
      <c r="I1756" s="35"/>
      <c r="J1756" s="35"/>
      <c r="K1756" s="35"/>
      <c r="L1756" s="35"/>
      <c r="M1756" s="35"/>
    </row>
    <row r="1757" spans="2:13" x14ac:dyDescent="0.35">
      <c r="B1757" s="32"/>
      <c r="C1757" s="35"/>
      <c r="D1757" s="35"/>
      <c r="E1757" s="35"/>
      <c r="F1757" s="35"/>
      <c r="G1757" s="35"/>
      <c r="H1757" s="35"/>
      <c r="I1757" s="35"/>
      <c r="J1757" s="35"/>
      <c r="K1757" s="35"/>
      <c r="L1757" s="35"/>
      <c r="M1757" s="35"/>
    </row>
    <row r="1758" spans="2:13" x14ac:dyDescent="0.35">
      <c r="B1758" s="32"/>
      <c r="C1758" s="35"/>
      <c r="D1758" s="35"/>
      <c r="E1758" s="35"/>
      <c r="F1758" s="35"/>
      <c r="G1758" s="35"/>
      <c r="H1758" s="35"/>
      <c r="I1758" s="35"/>
      <c r="J1758" s="35"/>
      <c r="K1758" s="35"/>
      <c r="L1758" s="35"/>
      <c r="M1758" s="35"/>
    </row>
    <row r="1759" spans="2:13" x14ac:dyDescent="0.35">
      <c r="B1759" s="32"/>
      <c r="C1759" s="35"/>
      <c r="D1759" s="35"/>
      <c r="E1759" s="35"/>
      <c r="F1759" s="35"/>
      <c r="G1759" s="35"/>
      <c r="H1759" s="35"/>
      <c r="I1759" s="35"/>
      <c r="J1759" s="35"/>
      <c r="K1759" s="35"/>
      <c r="L1759" s="35"/>
      <c r="M1759" s="35"/>
    </row>
    <row r="1760" spans="2:13" x14ac:dyDescent="0.35">
      <c r="B1760" s="32"/>
      <c r="C1760" s="35"/>
      <c r="D1760" s="35"/>
      <c r="E1760" s="35"/>
      <c r="F1760" s="35"/>
      <c r="G1760" s="35"/>
      <c r="H1760" s="35"/>
      <c r="I1760" s="35"/>
      <c r="J1760" s="35"/>
      <c r="K1760" s="35"/>
      <c r="L1760" s="35"/>
      <c r="M1760" s="35"/>
    </row>
    <row r="1761" spans="2:13" x14ac:dyDescent="0.35">
      <c r="B1761" s="32"/>
      <c r="C1761" s="35"/>
      <c r="D1761" s="35"/>
      <c r="E1761" s="35"/>
      <c r="F1761" s="35"/>
      <c r="G1761" s="35"/>
      <c r="H1761" s="35"/>
      <c r="I1761" s="35"/>
      <c r="J1761" s="35"/>
      <c r="K1761" s="35"/>
      <c r="L1761" s="35"/>
      <c r="M1761" s="35"/>
    </row>
    <row r="1762" spans="2:13" x14ac:dyDescent="0.35">
      <c r="B1762" s="32"/>
      <c r="C1762" s="35"/>
      <c r="D1762" s="35"/>
      <c r="E1762" s="35"/>
      <c r="F1762" s="35"/>
      <c r="G1762" s="35"/>
      <c r="H1762" s="35"/>
      <c r="I1762" s="35"/>
      <c r="J1762" s="35"/>
      <c r="K1762" s="35"/>
      <c r="L1762" s="35"/>
      <c r="M1762" s="35"/>
    </row>
    <row r="1763" spans="2:13" x14ac:dyDescent="0.35">
      <c r="B1763" s="32"/>
      <c r="C1763" s="35"/>
      <c r="D1763" s="35"/>
      <c r="E1763" s="35"/>
      <c r="F1763" s="35"/>
      <c r="G1763" s="35"/>
      <c r="H1763" s="35"/>
      <c r="I1763" s="35"/>
      <c r="J1763" s="35"/>
      <c r="K1763" s="35"/>
      <c r="L1763" s="35"/>
      <c r="M1763" s="35"/>
    </row>
    <row r="1764" spans="2:13" x14ac:dyDescent="0.35">
      <c r="B1764" s="32"/>
      <c r="C1764" s="35"/>
      <c r="D1764" s="35"/>
      <c r="E1764" s="35"/>
      <c r="F1764" s="35"/>
      <c r="G1764" s="35"/>
      <c r="H1764" s="35"/>
      <c r="I1764" s="35"/>
      <c r="J1764" s="35"/>
      <c r="K1764" s="35"/>
      <c r="L1764" s="35"/>
      <c r="M1764" s="35"/>
    </row>
    <row r="1765" spans="2:13" x14ac:dyDescent="0.35">
      <c r="B1765" s="32"/>
      <c r="C1765" s="35"/>
      <c r="D1765" s="35"/>
      <c r="E1765" s="35"/>
      <c r="F1765" s="35"/>
      <c r="G1765" s="35"/>
      <c r="H1765" s="35"/>
      <c r="I1765" s="35"/>
      <c r="J1765" s="35"/>
      <c r="K1765" s="35"/>
      <c r="L1765" s="35"/>
      <c r="M1765" s="35"/>
    </row>
    <row r="1766" spans="2:13" x14ac:dyDescent="0.35">
      <c r="B1766" s="32"/>
      <c r="C1766" s="35"/>
      <c r="D1766" s="35"/>
      <c r="E1766" s="35"/>
      <c r="F1766" s="35"/>
      <c r="G1766" s="35"/>
      <c r="H1766" s="35"/>
      <c r="I1766" s="35"/>
      <c r="J1766" s="35"/>
      <c r="K1766" s="35"/>
      <c r="L1766" s="35"/>
      <c r="M1766" s="35"/>
    </row>
    <row r="1767" spans="2:13" x14ac:dyDescent="0.35">
      <c r="B1767" s="32"/>
      <c r="C1767" s="35"/>
      <c r="D1767" s="35"/>
      <c r="E1767" s="35"/>
      <c r="F1767" s="35"/>
      <c r="G1767" s="35"/>
      <c r="H1767" s="35"/>
      <c r="I1767" s="35"/>
      <c r="J1767" s="35"/>
      <c r="K1767" s="35"/>
      <c r="L1767" s="35"/>
      <c r="M1767" s="35"/>
    </row>
    <row r="1768" spans="2:13" x14ac:dyDescent="0.35">
      <c r="B1768" s="32"/>
      <c r="C1768" s="35"/>
      <c r="D1768" s="35"/>
      <c r="E1768" s="35"/>
      <c r="F1768" s="35"/>
      <c r="G1768" s="35"/>
      <c r="H1768" s="35"/>
      <c r="I1768" s="35"/>
      <c r="J1768" s="35"/>
      <c r="K1768" s="35"/>
      <c r="L1768" s="35"/>
      <c r="M1768" s="35"/>
    </row>
    <row r="1769" spans="2:13" x14ac:dyDescent="0.35">
      <c r="B1769" s="32"/>
      <c r="C1769" s="35"/>
      <c r="D1769" s="35"/>
      <c r="E1769" s="35"/>
      <c r="F1769" s="35"/>
      <c r="G1769" s="35"/>
      <c r="H1769" s="35"/>
      <c r="I1769" s="35"/>
      <c r="J1769" s="35"/>
      <c r="K1769" s="35"/>
      <c r="L1769" s="35"/>
      <c r="M1769" s="35"/>
    </row>
    <row r="1770" spans="2:13" x14ac:dyDescent="0.35">
      <c r="B1770" s="32"/>
      <c r="C1770" s="35"/>
      <c r="D1770" s="35"/>
      <c r="E1770" s="35"/>
      <c r="F1770" s="35"/>
      <c r="G1770" s="35"/>
      <c r="H1770" s="35"/>
      <c r="I1770" s="35"/>
      <c r="J1770" s="35"/>
      <c r="K1770" s="35"/>
      <c r="L1770" s="35"/>
      <c r="M1770" s="35"/>
    </row>
    <row r="1771" spans="2:13" x14ac:dyDescent="0.35">
      <c r="B1771" s="32"/>
      <c r="C1771" s="35"/>
      <c r="D1771" s="35"/>
      <c r="E1771" s="35"/>
      <c r="F1771" s="35"/>
      <c r="G1771" s="35"/>
      <c r="H1771" s="35"/>
      <c r="I1771" s="35"/>
      <c r="J1771" s="35"/>
      <c r="K1771" s="35"/>
      <c r="L1771" s="35"/>
      <c r="M1771" s="35"/>
    </row>
    <row r="1772" spans="2:13" x14ac:dyDescent="0.35">
      <c r="B1772" s="32"/>
      <c r="C1772" s="35"/>
      <c r="D1772" s="35"/>
      <c r="E1772" s="35"/>
      <c r="F1772" s="35"/>
      <c r="G1772" s="35"/>
      <c r="H1772" s="35"/>
      <c r="I1772" s="35"/>
      <c r="J1772" s="35"/>
      <c r="K1772" s="35"/>
      <c r="L1772" s="35"/>
      <c r="M1772" s="35"/>
    </row>
    <row r="1773" spans="2:13" x14ac:dyDescent="0.35">
      <c r="B1773" s="32"/>
      <c r="C1773" s="35"/>
      <c r="D1773" s="35"/>
      <c r="E1773" s="35"/>
      <c r="F1773" s="35"/>
      <c r="G1773" s="35"/>
      <c r="H1773" s="35"/>
      <c r="I1773" s="35"/>
      <c r="J1773" s="35"/>
      <c r="K1773" s="35"/>
      <c r="L1773" s="35"/>
      <c r="M1773" s="35"/>
    </row>
    <row r="1774" spans="2:13" x14ac:dyDescent="0.35">
      <c r="B1774" s="32"/>
      <c r="C1774" s="35"/>
      <c r="D1774" s="35"/>
      <c r="E1774" s="35"/>
      <c r="F1774" s="35"/>
      <c r="G1774" s="35"/>
      <c r="H1774" s="35"/>
      <c r="I1774" s="35"/>
      <c r="J1774" s="35"/>
      <c r="K1774" s="35"/>
      <c r="L1774" s="35"/>
      <c r="M1774" s="35"/>
    </row>
    <row r="1775" spans="2:13" x14ac:dyDescent="0.35">
      <c r="B1775" s="32"/>
      <c r="C1775" s="35"/>
      <c r="D1775" s="35"/>
      <c r="E1775" s="35"/>
      <c r="F1775" s="35"/>
      <c r="G1775" s="35"/>
      <c r="H1775" s="35"/>
      <c r="I1775" s="35"/>
      <c r="J1775" s="35"/>
      <c r="K1775" s="35"/>
      <c r="L1775" s="35"/>
      <c r="M1775" s="35"/>
    </row>
    <row r="1776" spans="2:13" x14ac:dyDescent="0.35">
      <c r="B1776" s="32"/>
      <c r="C1776" s="35"/>
      <c r="D1776" s="35"/>
      <c r="E1776" s="35"/>
      <c r="F1776" s="35"/>
      <c r="G1776" s="35"/>
      <c r="H1776" s="35"/>
      <c r="I1776" s="35"/>
      <c r="J1776" s="35"/>
      <c r="K1776" s="35"/>
      <c r="L1776" s="35"/>
      <c r="M1776" s="35"/>
    </row>
    <row r="1777" spans="2:13" x14ac:dyDescent="0.35">
      <c r="B1777" s="32"/>
      <c r="C1777" s="35"/>
      <c r="D1777" s="35"/>
      <c r="E1777" s="35"/>
      <c r="F1777" s="35"/>
      <c r="G1777" s="35"/>
      <c r="H1777" s="35"/>
      <c r="I1777" s="35"/>
      <c r="J1777" s="35"/>
      <c r="K1777" s="35"/>
      <c r="L1777" s="35"/>
      <c r="M1777" s="35"/>
    </row>
    <row r="1778" spans="2:13" x14ac:dyDescent="0.35">
      <c r="B1778" s="32"/>
      <c r="C1778" s="35"/>
      <c r="D1778" s="35"/>
      <c r="E1778" s="35"/>
      <c r="F1778" s="35"/>
      <c r="G1778" s="35"/>
      <c r="H1778" s="35"/>
      <c r="I1778" s="35"/>
      <c r="J1778" s="35"/>
      <c r="K1778" s="35"/>
      <c r="L1778" s="35"/>
      <c r="M1778" s="35"/>
    </row>
    <row r="1779" spans="2:13" x14ac:dyDescent="0.35">
      <c r="B1779" s="32"/>
      <c r="C1779" s="35"/>
      <c r="D1779" s="35"/>
      <c r="E1779" s="35"/>
      <c r="F1779" s="35"/>
      <c r="G1779" s="35"/>
      <c r="H1779" s="35"/>
      <c r="I1779" s="35"/>
      <c r="J1779" s="35"/>
      <c r="K1779" s="35"/>
      <c r="L1779" s="35"/>
      <c r="M1779" s="35"/>
    </row>
    <row r="1780" spans="2:13" x14ac:dyDescent="0.35">
      <c r="B1780" s="32"/>
      <c r="C1780" s="35"/>
      <c r="D1780" s="35"/>
      <c r="E1780" s="35"/>
      <c r="F1780" s="35"/>
      <c r="G1780" s="35"/>
      <c r="H1780" s="35"/>
      <c r="I1780" s="35"/>
      <c r="J1780" s="35"/>
      <c r="K1780" s="35"/>
      <c r="L1780" s="35"/>
      <c r="M1780" s="35"/>
    </row>
    <row r="1781" spans="2:13" x14ac:dyDescent="0.35">
      <c r="B1781" s="32"/>
      <c r="C1781" s="35"/>
      <c r="D1781" s="35"/>
      <c r="E1781" s="35"/>
      <c r="F1781" s="35"/>
      <c r="G1781" s="35"/>
      <c r="H1781" s="35"/>
      <c r="I1781" s="35"/>
      <c r="J1781" s="35"/>
      <c r="K1781" s="35"/>
      <c r="L1781" s="35"/>
      <c r="M1781" s="35"/>
    </row>
    <row r="1782" spans="2:13" x14ac:dyDescent="0.35">
      <c r="B1782" s="32"/>
      <c r="C1782" s="35"/>
      <c r="D1782" s="35"/>
      <c r="E1782" s="35"/>
      <c r="F1782" s="35"/>
      <c r="G1782" s="35"/>
      <c r="H1782" s="35"/>
      <c r="I1782" s="35"/>
      <c r="J1782" s="35"/>
      <c r="K1782" s="35"/>
      <c r="L1782" s="35"/>
      <c r="M1782" s="35"/>
    </row>
    <row r="1783" spans="2:13" x14ac:dyDescent="0.35">
      <c r="B1783" s="32"/>
      <c r="C1783" s="35"/>
      <c r="D1783" s="35"/>
      <c r="E1783" s="35"/>
      <c r="F1783" s="35"/>
      <c r="G1783" s="35"/>
      <c r="H1783" s="35"/>
      <c r="I1783" s="35"/>
      <c r="J1783" s="35"/>
      <c r="K1783" s="35"/>
      <c r="L1783" s="35"/>
      <c r="M1783" s="35"/>
    </row>
    <row r="1784" spans="2:13" x14ac:dyDescent="0.35">
      <c r="B1784" s="32"/>
      <c r="C1784" s="35"/>
      <c r="D1784" s="35"/>
      <c r="E1784" s="35"/>
      <c r="F1784" s="35"/>
      <c r="G1784" s="35"/>
      <c r="H1784" s="35"/>
      <c r="I1784" s="35"/>
      <c r="J1784" s="35"/>
      <c r="K1784" s="35"/>
      <c r="L1784" s="35"/>
      <c r="M1784" s="35"/>
    </row>
    <row r="1785" spans="2:13" x14ac:dyDescent="0.35">
      <c r="B1785" s="32"/>
      <c r="C1785" s="35"/>
      <c r="D1785" s="35"/>
      <c r="E1785" s="35"/>
      <c r="F1785" s="35"/>
      <c r="G1785" s="35"/>
      <c r="H1785" s="35"/>
      <c r="I1785" s="35"/>
      <c r="J1785" s="35"/>
      <c r="K1785" s="35"/>
      <c r="L1785" s="35"/>
      <c r="M1785" s="35"/>
    </row>
    <row r="1786" spans="2:13" x14ac:dyDescent="0.35">
      <c r="B1786" s="32"/>
      <c r="C1786" s="35"/>
      <c r="D1786" s="35"/>
      <c r="E1786" s="35"/>
      <c r="F1786" s="35"/>
      <c r="G1786" s="35"/>
      <c r="H1786" s="35"/>
      <c r="I1786" s="35"/>
      <c r="J1786" s="35"/>
      <c r="K1786" s="35"/>
      <c r="L1786" s="35"/>
      <c r="M1786" s="35"/>
    </row>
    <row r="1787" spans="2:13" x14ac:dyDescent="0.35">
      <c r="B1787" s="32"/>
      <c r="C1787" s="35"/>
      <c r="D1787" s="35"/>
      <c r="E1787" s="35"/>
      <c r="F1787" s="35"/>
      <c r="G1787" s="35"/>
      <c r="H1787" s="35"/>
      <c r="I1787" s="35"/>
      <c r="J1787" s="35"/>
      <c r="K1787" s="35"/>
      <c r="L1787" s="35"/>
      <c r="M1787" s="35"/>
    </row>
    <row r="1788" spans="2:13" x14ac:dyDescent="0.35">
      <c r="B1788" s="32"/>
      <c r="C1788" s="35"/>
      <c r="D1788" s="35"/>
      <c r="E1788" s="35"/>
      <c r="F1788" s="35"/>
      <c r="G1788" s="35"/>
      <c r="H1788" s="35"/>
      <c r="I1788" s="35"/>
      <c r="J1788" s="35"/>
      <c r="K1788" s="35"/>
      <c r="L1788" s="35"/>
      <c r="M1788" s="35"/>
    </row>
    <row r="1789" spans="2:13" x14ac:dyDescent="0.35">
      <c r="B1789" s="32"/>
      <c r="C1789" s="35"/>
      <c r="D1789" s="35"/>
      <c r="E1789" s="35"/>
      <c r="F1789" s="35"/>
      <c r="G1789" s="35"/>
      <c r="H1789" s="35"/>
      <c r="I1789" s="35"/>
      <c r="J1789" s="35"/>
      <c r="K1789" s="35"/>
      <c r="L1789" s="35"/>
      <c r="M1789" s="35"/>
    </row>
    <row r="1790" spans="2:13" x14ac:dyDescent="0.35">
      <c r="B1790" s="32"/>
      <c r="C1790" s="35"/>
      <c r="D1790" s="35"/>
      <c r="E1790" s="35"/>
      <c r="F1790" s="35"/>
      <c r="G1790" s="35"/>
      <c r="H1790" s="35"/>
      <c r="I1790" s="35"/>
      <c r="J1790" s="35"/>
      <c r="K1790" s="35"/>
      <c r="L1790" s="35"/>
      <c r="M1790" s="35"/>
    </row>
    <row r="1791" spans="2:13" x14ac:dyDescent="0.35">
      <c r="B1791" s="32"/>
      <c r="C1791" s="35"/>
      <c r="D1791" s="35"/>
      <c r="E1791" s="35"/>
      <c r="F1791" s="35"/>
      <c r="G1791" s="35"/>
      <c r="H1791" s="35"/>
      <c r="I1791" s="35"/>
      <c r="J1791" s="35"/>
      <c r="K1791" s="35"/>
      <c r="L1791" s="35"/>
      <c r="M1791" s="35"/>
    </row>
    <row r="1792" spans="2:13" x14ac:dyDescent="0.35">
      <c r="B1792" s="32"/>
      <c r="C1792" s="35"/>
      <c r="D1792" s="35"/>
      <c r="E1792" s="35"/>
      <c r="F1792" s="35"/>
      <c r="G1792" s="35"/>
      <c r="H1792" s="35"/>
      <c r="I1792" s="35"/>
      <c r="J1792" s="35"/>
      <c r="K1792" s="35"/>
      <c r="L1792" s="35"/>
      <c r="M1792" s="35"/>
    </row>
    <row r="1793" spans="2:13" x14ac:dyDescent="0.35">
      <c r="B1793" s="32"/>
      <c r="C1793" s="35"/>
      <c r="D1793" s="35"/>
      <c r="E1793" s="35"/>
      <c r="F1793" s="35"/>
      <c r="G1793" s="35"/>
      <c r="H1793" s="35"/>
      <c r="I1793" s="35"/>
      <c r="J1793" s="35"/>
      <c r="K1793" s="35"/>
      <c r="L1793" s="35"/>
      <c r="M1793" s="35"/>
    </row>
    <row r="1794" spans="2:13" x14ac:dyDescent="0.35">
      <c r="B1794" s="32"/>
      <c r="C1794" s="35"/>
      <c r="D1794" s="35"/>
      <c r="E1794" s="35"/>
      <c r="F1794" s="35"/>
      <c r="G1794" s="35"/>
      <c r="H1794" s="35"/>
      <c r="I1794" s="35"/>
      <c r="J1794" s="35"/>
      <c r="K1794" s="35"/>
      <c r="L1794" s="35"/>
      <c r="M1794" s="35"/>
    </row>
    <row r="1795" spans="2:13" x14ac:dyDescent="0.35">
      <c r="B1795" s="32"/>
      <c r="C1795" s="35"/>
      <c r="D1795" s="35"/>
      <c r="E1795" s="35"/>
      <c r="F1795" s="35"/>
      <c r="G1795" s="35"/>
      <c r="H1795" s="35"/>
      <c r="I1795" s="35"/>
      <c r="J1795" s="35"/>
      <c r="K1795" s="35"/>
      <c r="L1795" s="35"/>
      <c r="M1795" s="35"/>
    </row>
    <row r="1796" spans="2:13" x14ac:dyDescent="0.35">
      <c r="B1796" s="32"/>
      <c r="C1796" s="35"/>
      <c r="D1796" s="35"/>
      <c r="E1796" s="35"/>
      <c r="F1796" s="35"/>
      <c r="G1796" s="35"/>
      <c r="H1796" s="35"/>
      <c r="I1796" s="35"/>
      <c r="J1796" s="35"/>
      <c r="K1796" s="35"/>
      <c r="L1796" s="35"/>
      <c r="M1796" s="35"/>
    </row>
    <row r="1797" spans="2:13" x14ac:dyDescent="0.35">
      <c r="B1797" s="32"/>
      <c r="C1797" s="35"/>
      <c r="D1797" s="35"/>
      <c r="E1797" s="35"/>
      <c r="F1797" s="35"/>
      <c r="G1797" s="35"/>
      <c r="H1797" s="35"/>
      <c r="I1797" s="35"/>
      <c r="J1797" s="35"/>
      <c r="K1797" s="35"/>
      <c r="L1797" s="35"/>
      <c r="M1797" s="35"/>
    </row>
    <row r="1798" spans="2:13" x14ac:dyDescent="0.35">
      <c r="B1798" s="32"/>
      <c r="C1798" s="35"/>
      <c r="D1798" s="35"/>
      <c r="E1798" s="35"/>
      <c r="F1798" s="35"/>
      <c r="G1798" s="35"/>
      <c r="H1798" s="35"/>
      <c r="I1798" s="35"/>
      <c r="J1798" s="35"/>
      <c r="K1798" s="35"/>
      <c r="L1798" s="35"/>
      <c r="M1798" s="35"/>
    </row>
    <row r="1799" spans="2:13" x14ac:dyDescent="0.35">
      <c r="B1799" s="32"/>
      <c r="C1799" s="35"/>
      <c r="D1799" s="35"/>
      <c r="E1799" s="35"/>
      <c r="F1799" s="35"/>
      <c r="G1799" s="35"/>
      <c r="H1799" s="35"/>
      <c r="I1799" s="35"/>
      <c r="J1799" s="35"/>
      <c r="K1799" s="35"/>
      <c r="L1799" s="35"/>
      <c r="M1799" s="35"/>
    </row>
    <row r="1800" spans="2:13" x14ac:dyDescent="0.35">
      <c r="B1800" s="32"/>
      <c r="C1800" s="35"/>
      <c r="D1800" s="35"/>
      <c r="E1800" s="35"/>
      <c r="F1800" s="35"/>
      <c r="G1800" s="35"/>
      <c r="H1800" s="35"/>
      <c r="I1800" s="35"/>
      <c r="J1800" s="35"/>
      <c r="K1800" s="35"/>
      <c r="L1800" s="35"/>
      <c r="M1800" s="35"/>
    </row>
    <row r="1801" spans="2:13" x14ac:dyDescent="0.35">
      <c r="B1801" s="32"/>
      <c r="C1801" s="35"/>
      <c r="D1801" s="35"/>
      <c r="E1801" s="35"/>
      <c r="F1801" s="35"/>
      <c r="G1801" s="35"/>
      <c r="H1801" s="35"/>
      <c r="I1801" s="35"/>
      <c r="J1801" s="35"/>
      <c r="K1801" s="35"/>
      <c r="L1801" s="35"/>
      <c r="M1801" s="35"/>
    </row>
    <row r="1802" spans="2:13" x14ac:dyDescent="0.35">
      <c r="B1802" s="32"/>
      <c r="C1802" s="35"/>
      <c r="D1802" s="35"/>
      <c r="E1802" s="35"/>
      <c r="F1802" s="35"/>
      <c r="G1802" s="35"/>
      <c r="H1802" s="35"/>
      <c r="I1802" s="35"/>
      <c r="J1802" s="35"/>
      <c r="K1802" s="35"/>
      <c r="L1802" s="35"/>
      <c r="M1802" s="35"/>
    </row>
    <row r="1803" spans="2:13" x14ac:dyDescent="0.35">
      <c r="B1803" s="32"/>
      <c r="C1803" s="35"/>
      <c r="D1803" s="35"/>
      <c r="E1803" s="35"/>
      <c r="F1803" s="35"/>
      <c r="G1803" s="35"/>
      <c r="H1803" s="35"/>
      <c r="I1803" s="35"/>
      <c r="J1803" s="35"/>
      <c r="K1803" s="35"/>
      <c r="L1803" s="35"/>
      <c r="M1803" s="35"/>
    </row>
    <row r="1804" spans="2:13" x14ac:dyDescent="0.35">
      <c r="B1804" s="32"/>
      <c r="C1804" s="35"/>
      <c r="D1804" s="35"/>
      <c r="E1804" s="35"/>
      <c r="F1804" s="35"/>
      <c r="G1804" s="35"/>
      <c r="H1804" s="35"/>
      <c r="I1804" s="35"/>
      <c r="J1804" s="35"/>
      <c r="K1804" s="35"/>
      <c r="L1804" s="35"/>
      <c r="M1804" s="35"/>
    </row>
    <row r="1805" spans="2:13" x14ac:dyDescent="0.35">
      <c r="B1805" s="32"/>
      <c r="C1805" s="35"/>
      <c r="D1805" s="35"/>
      <c r="E1805" s="35"/>
      <c r="F1805" s="35"/>
      <c r="G1805" s="35"/>
      <c r="H1805" s="35"/>
      <c r="I1805" s="35"/>
      <c r="J1805" s="35"/>
      <c r="K1805" s="35"/>
      <c r="L1805" s="35"/>
      <c r="M1805" s="35"/>
    </row>
    <row r="1806" spans="2:13" x14ac:dyDescent="0.35">
      <c r="B1806" s="32"/>
      <c r="C1806" s="35"/>
      <c r="D1806" s="35"/>
      <c r="E1806" s="35"/>
      <c r="F1806" s="35"/>
      <c r="G1806" s="35"/>
      <c r="H1806" s="35"/>
      <c r="I1806" s="35"/>
      <c r="J1806" s="35"/>
      <c r="K1806" s="35"/>
      <c r="L1806" s="35"/>
      <c r="M1806" s="35"/>
    </row>
    <row r="1807" spans="2:13" x14ac:dyDescent="0.35">
      <c r="B1807" s="32"/>
      <c r="C1807" s="35"/>
      <c r="D1807" s="35"/>
      <c r="E1807" s="35"/>
      <c r="F1807" s="35"/>
      <c r="G1807" s="35"/>
      <c r="H1807" s="35"/>
      <c r="I1807" s="35"/>
      <c r="J1807" s="35"/>
      <c r="K1807" s="35"/>
      <c r="L1807" s="35"/>
      <c r="M1807" s="35"/>
    </row>
    <row r="1808" spans="2:13" x14ac:dyDescent="0.35">
      <c r="B1808" s="32"/>
      <c r="C1808" s="35"/>
      <c r="D1808" s="35"/>
      <c r="E1808" s="35"/>
      <c r="F1808" s="35"/>
      <c r="G1808" s="35"/>
      <c r="H1808" s="35"/>
      <c r="I1808" s="35"/>
      <c r="J1808" s="35"/>
      <c r="K1808" s="35"/>
      <c r="L1808" s="35"/>
      <c r="M1808" s="35"/>
    </row>
    <row r="1809" spans="2:13" x14ac:dyDescent="0.35">
      <c r="B1809" s="32"/>
      <c r="C1809" s="35"/>
      <c r="D1809" s="35"/>
      <c r="E1809" s="35"/>
      <c r="F1809" s="35"/>
      <c r="G1809" s="35"/>
      <c r="H1809" s="35"/>
      <c r="I1809" s="35"/>
      <c r="J1809" s="35"/>
      <c r="K1809" s="35"/>
      <c r="L1809" s="35"/>
      <c r="M1809" s="35"/>
    </row>
    <row r="1810" spans="2:13" x14ac:dyDescent="0.35">
      <c r="B1810" s="32"/>
      <c r="C1810" s="35"/>
      <c r="D1810" s="35"/>
      <c r="E1810" s="35"/>
      <c r="F1810" s="35"/>
      <c r="G1810" s="35"/>
      <c r="H1810" s="35"/>
      <c r="I1810" s="35"/>
      <c r="J1810" s="35"/>
      <c r="K1810" s="35"/>
      <c r="L1810" s="35"/>
      <c r="M1810" s="35"/>
    </row>
    <row r="1811" spans="2:13" x14ac:dyDescent="0.35">
      <c r="B1811" s="32"/>
      <c r="C1811" s="35"/>
      <c r="D1811" s="35"/>
      <c r="E1811" s="35"/>
      <c r="F1811" s="35"/>
      <c r="G1811" s="35"/>
      <c r="H1811" s="35"/>
      <c r="I1811" s="35"/>
      <c r="J1811" s="35"/>
      <c r="K1811" s="35"/>
      <c r="L1811" s="35"/>
      <c r="M1811" s="35"/>
    </row>
    <row r="1812" spans="2:13" x14ac:dyDescent="0.35">
      <c r="B1812" s="32"/>
      <c r="C1812" s="35"/>
      <c r="D1812" s="35"/>
      <c r="E1812" s="35"/>
      <c r="F1812" s="35"/>
      <c r="G1812" s="35"/>
      <c r="H1812" s="35"/>
      <c r="I1812" s="35"/>
      <c r="J1812" s="35"/>
      <c r="K1812" s="35"/>
      <c r="L1812" s="35"/>
      <c r="M1812" s="35"/>
    </row>
    <row r="1813" spans="2:13" x14ac:dyDescent="0.35">
      <c r="B1813" s="32"/>
      <c r="C1813" s="35"/>
      <c r="D1813" s="35"/>
      <c r="E1813" s="35"/>
      <c r="F1813" s="35"/>
      <c r="G1813" s="35"/>
      <c r="H1813" s="35"/>
      <c r="I1813" s="35"/>
      <c r="J1813" s="35"/>
      <c r="K1813" s="35"/>
      <c r="L1813" s="35"/>
      <c r="M1813" s="35"/>
    </row>
    <row r="1814" spans="2:13" x14ac:dyDescent="0.35">
      <c r="B1814" s="32"/>
      <c r="C1814" s="35"/>
      <c r="D1814" s="35"/>
      <c r="E1814" s="35"/>
      <c r="F1814" s="35"/>
      <c r="G1814" s="35"/>
      <c r="H1814" s="35"/>
      <c r="I1814" s="35"/>
      <c r="J1814" s="35"/>
      <c r="K1814" s="35"/>
      <c r="L1814" s="35"/>
      <c r="M1814" s="35"/>
    </row>
    <row r="1815" spans="2:13" x14ac:dyDescent="0.35">
      <c r="B1815" s="32"/>
      <c r="C1815" s="35"/>
      <c r="D1815" s="35"/>
      <c r="E1815" s="35"/>
      <c r="F1815" s="35"/>
      <c r="G1815" s="35"/>
      <c r="H1815" s="35"/>
      <c r="I1815" s="35"/>
      <c r="J1815" s="35"/>
      <c r="K1815" s="35"/>
      <c r="L1815" s="35"/>
      <c r="M1815" s="35"/>
    </row>
    <row r="1816" spans="2:13" x14ac:dyDescent="0.35">
      <c r="B1816" s="32"/>
      <c r="C1816" s="35"/>
      <c r="D1816" s="35"/>
      <c r="E1816" s="35"/>
      <c r="F1816" s="35"/>
      <c r="G1816" s="35"/>
      <c r="H1816" s="35"/>
      <c r="I1816" s="35"/>
      <c r="J1816" s="35"/>
      <c r="K1816" s="35"/>
      <c r="L1816" s="35"/>
      <c r="M1816" s="35"/>
    </row>
    <row r="1817" spans="2:13" x14ac:dyDescent="0.35">
      <c r="B1817" s="32"/>
      <c r="C1817" s="35"/>
      <c r="D1817" s="35"/>
      <c r="E1817" s="35"/>
      <c r="F1817" s="35"/>
      <c r="G1817" s="35"/>
      <c r="H1817" s="35"/>
      <c r="I1817" s="35"/>
      <c r="J1817" s="35"/>
      <c r="K1817" s="35"/>
      <c r="L1817" s="35"/>
      <c r="M1817" s="35"/>
    </row>
    <row r="1818" spans="2:13" x14ac:dyDescent="0.35">
      <c r="B1818" s="32"/>
      <c r="C1818" s="35"/>
      <c r="D1818" s="35"/>
      <c r="E1818" s="35"/>
      <c r="F1818" s="35"/>
      <c r="G1818" s="35"/>
      <c r="H1818" s="35"/>
      <c r="I1818" s="35"/>
      <c r="J1818" s="35"/>
      <c r="K1818" s="35"/>
      <c r="L1818" s="35"/>
      <c r="M1818" s="35"/>
    </row>
    <row r="1819" spans="2:13" x14ac:dyDescent="0.35">
      <c r="B1819" s="32"/>
      <c r="C1819" s="35"/>
      <c r="D1819" s="35"/>
      <c r="E1819" s="35"/>
      <c r="F1819" s="35"/>
      <c r="G1819" s="35"/>
      <c r="H1819" s="35"/>
      <c r="I1819" s="35"/>
      <c r="J1819" s="35"/>
      <c r="K1819" s="35"/>
      <c r="L1819" s="35"/>
      <c r="M1819" s="35"/>
    </row>
    <row r="1820" spans="2:13" x14ac:dyDescent="0.35">
      <c r="B1820" s="32"/>
      <c r="C1820" s="35"/>
      <c r="D1820" s="35"/>
      <c r="E1820" s="35"/>
      <c r="F1820" s="35"/>
      <c r="G1820" s="35"/>
      <c r="H1820" s="35"/>
      <c r="I1820" s="35"/>
      <c r="J1820" s="35"/>
      <c r="K1820" s="35"/>
      <c r="L1820" s="35"/>
      <c r="M1820" s="35"/>
    </row>
    <row r="1821" spans="2:13" x14ac:dyDescent="0.35">
      <c r="B1821" s="32"/>
      <c r="C1821" s="35"/>
      <c r="D1821" s="35"/>
      <c r="E1821" s="35"/>
      <c r="F1821" s="35"/>
      <c r="G1821" s="35"/>
      <c r="H1821" s="35"/>
      <c r="I1821" s="35"/>
      <c r="J1821" s="35"/>
      <c r="K1821" s="35"/>
      <c r="L1821" s="35"/>
      <c r="M1821" s="35"/>
    </row>
    <row r="1822" spans="2:13" x14ac:dyDescent="0.35">
      <c r="B1822" s="32"/>
      <c r="C1822" s="35"/>
      <c r="D1822" s="35"/>
      <c r="E1822" s="35"/>
      <c r="F1822" s="35"/>
      <c r="G1822" s="35"/>
      <c r="H1822" s="35"/>
      <c r="I1822" s="35"/>
      <c r="J1822" s="35"/>
      <c r="K1822" s="35"/>
      <c r="L1822" s="35"/>
      <c r="M1822" s="35"/>
    </row>
    <row r="1823" spans="2:13" x14ac:dyDescent="0.35">
      <c r="B1823" s="32"/>
      <c r="C1823" s="35"/>
      <c r="D1823" s="35"/>
      <c r="E1823" s="35"/>
      <c r="F1823" s="35"/>
      <c r="G1823" s="35"/>
      <c r="H1823" s="35"/>
      <c r="I1823" s="35"/>
      <c r="J1823" s="35"/>
      <c r="K1823" s="35"/>
      <c r="L1823" s="35"/>
      <c r="M1823" s="35"/>
    </row>
    <row r="1824" spans="2:13" x14ac:dyDescent="0.35">
      <c r="B1824" s="32"/>
      <c r="C1824" s="35"/>
      <c r="D1824" s="35"/>
      <c r="E1824" s="35"/>
      <c r="F1824" s="35"/>
      <c r="G1824" s="35"/>
      <c r="H1824" s="35"/>
      <c r="I1824" s="35"/>
      <c r="J1824" s="35"/>
      <c r="K1824" s="35"/>
      <c r="L1824" s="35"/>
      <c r="M1824" s="35"/>
    </row>
    <row r="1825" spans="2:13" x14ac:dyDescent="0.35">
      <c r="B1825" s="32"/>
      <c r="C1825" s="35"/>
      <c r="D1825" s="35"/>
      <c r="E1825" s="35"/>
      <c r="F1825" s="35"/>
      <c r="G1825" s="35"/>
      <c r="H1825" s="35"/>
      <c r="I1825" s="35"/>
      <c r="J1825" s="35"/>
      <c r="K1825" s="35"/>
      <c r="L1825" s="35"/>
      <c r="M1825" s="35"/>
    </row>
    <row r="1826" spans="2:13" x14ac:dyDescent="0.35">
      <c r="B1826" s="32"/>
      <c r="C1826" s="35"/>
      <c r="D1826" s="35"/>
      <c r="E1826" s="35"/>
      <c r="F1826" s="35"/>
      <c r="G1826" s="35"/>
      <c r="H1826" s="35"/>
      <c r="I1826" s="35"/>
      <c r="J1826" s="35"/>
      <c r="K1826" s="35"/>
      <c r="L1826" s="35"/>
      <c r="M1826" s="35"/>
    </row>
    <row r="1827" spans="2:13" x14ac:dyDescent="0.35">
      <c r="B1827" s="32"/>
      <c r="C1827" s="35"/>
      <c r="D1827" s="35"/>
      <c r="E1827" s="35"/>
      <c r="F1827" s="35"/>
      <c r="G1827" s="35"/>
      <c r="H1827" s="35"/>
      <c r="I1827" s="35"/>
      <c r="J1827" s="35"/>
      <c r="K1827" s="35"/>
      <c r="L1827" s="35"/>
      <c r="M1827" s="35"/>
    </row>
    <row r="1828" spans="2:13" x14ac:dyDescent="0.35">
      <c r="B1828" s="32"/>
      <c r="C1828" s="35"/>
      <c r="D1828" s="35"/>
      <c r="E1828" s="35"/>
      <c r="F1828" s="35"/>
      <c r="G1828" s="35"/>
      <c r="H1828" s="35"/>
      <c r="I1828" s="35"/>
      <c r="J1828" s="35"/>
      <c r="K1828" s="35"/>
      <c r="L1828" s="35"/>
      <c r="M1828" s="35"/>
    </row>
    <row r="1829" spans="2:13" x14ac:dyDescent="0.35">
      <c r="B1829" s="32"/>
      <c r="C1829" s="35"/>
      <c r="D1829" s="35"/>
      <c r="E1829" s="35"/>
      <c r="F1829" s="35"/>
      <c r="G1829" s="35"/>
      <c r="H1829" s="35"/>
      <c r="I1829" s="35"/>
      <c r="J1829" s="35"/>
      <c r="K1829" s="35"/>
      <c r="L1829" s="35"/>
      <c r="M1829" s="35"/>
    </row>
    <row r="1830" spans="2:13" x14ac:dyDescent="0.35">
      <c r="B1830" s="32"/>
      <c r="C1830" s="35"/>
      <c r="D1830" s="35"/>
      <c r="E1830" s="35"/>
      <c r="F1830" s="35"/>
      <c r="G1830" s="35"/>
      <c r="H1830" s="35"/>
      <c r="I1830" s="35"/>
      <c r="J1830" s="35"/>
      <c r="K1830" s="35"/>
      <c r="L1830" s="35"/>
      <c r="M1830" s="35"/>
    </row>
    <row r="1831" spans="2:13" x14ac:dyDescent="0.35">
      <c r="B1831" s="32"/>
      <c r="C1831" s="35"/>
      <c r="D1831" s="35"/>
      <c r="E1831" s="35"/>
      <c r="F1831" s="35"/>
      <c r="G1831" s="35"/>
      <c r="H1831" s="35"/>
      <c r="I1831" s="35"/>
      <c r="J1831" s="35"/>
      <c r="K1831" s="35"/>
      <c r="L1831" s="35"/>
      <c r="M1831" s="35"/>
    </row>
    <row r="1832" spans="2:13" x14ac:dyDescent="0.35">
      <c r="B1832" s="32"/>
      <c r="C1832" s="35"/>
      <c r="D1832" s="35"/>
      <c r="E1832" s="35"/>
      <c r="F1832" s="35"/>
      <c r="G1832" s="35"/>
      <c r="H1832" s="35"/>
      <c r="I1832" s="35"/>
      <c r="J1832" s="35"/>
      <c r="K1832" s="35"/>
      <c r="L1832" s="35"/>
      <c r="M1832" s="35"/>
    </row>
    <row r="1833" spans="2:13" x14ac:dyDescent="0.35">
      <c r="B1833" s="32"/>
      <c r="C1833" s="35"/>
      <c r="D1833" s="35"/>
      <c r="E1833" s="35"/>
      <c r="F1833" s="35"/>
      <c r="G1833" s="35"/>
      <c r="H1833" s="35"/>
      <c r="I1833" s="35"/>
      <c r="J1833" s="35"/>
      <c r="K1833" s="35"/>
      <c r="L1833" s="35"/>
      <c r="M1833" s="35"/>
    </row>
    <row r="1834" spans="2:13" x14ac:dyDescent="0.35">
      <c r="B1834" s="32"/>
      <c r="C1834" s="35"/>
      <c r="D1834" s="35"/>
      <c r="E1834" s="35"/>
      <c r="F1834" s="35"/>
      <c r="G1834" s="35"/>
      <c r="H1834" s="35"/>
      <c r="I1834" s="35"/>
      <c r="J1834" s="35"/>
      <c r="K1834" s="35"/>
      <c r="L1834" s="35"/>
      <c r="M1834" s="35"/>
    </row>
    <row r="1835" spans="2:13" x14ac:dyDescent="0.35">
      <c r="B1835" s="32"/>
      <c r="C1835" s="35"/>
      <c r="D1835" s="35"/>
      <c r="E1835" s="35"/>
      <c r="F1835" s="35"/>
      <c r="G1835" s="35"/>
      <c r="H1835" s="35"/>
      <c r="I1835" s="35"/>
      <c r="J1835" s="35"/>
      <c r="K1835" s="35"/>
      <c r="L1835" s="35"/>
      <c r="M1835" s="35"/>
    </row>
    <row r="1836" spans="2:13" x14ac:dyDescent="0.35">
      <c r="B1836" s="32"/>
      <c r="C1836" s="35"/>
      <c r="D1836" s="35"/>
      <c r="E1836" s="35"/>
      <c r="F1836" s="35"/>
      <c r="G1836" s="35"/>
      <c r="H1836" s="35"/>
      <c r="I1836" s="35"/>
      <c r="J1836" s="35"/>
      <c r="K1836" s="35"/>
      <c r="L1836" s="35"/>
      <c r="M1836" s="35"/>
    </row>
    <row r="1837" spans="2:13" x14ac:dyDescent="0.35">
      <c r="B1837" s="32"/>
      <c r="C1837" s="35"/>
      <c r="D1837" s="35"/>
      <c r="E1837" s="35"/>
      <c r="F1837" s="35"/>
      <c r="G1837" s="35"/>
      <c r="H1837" s="35"/>
      <c r="I1837" s="35"/>
      <c r="J1837" s="35"/>
      <c r="K1837" s="35"/>
      <c r="L1837" s="35"/>
      <c r="M1837" s="35"/>
    </row>
    <row r="1838" spans="2:13" x14ac:dyDescent="0.35">
      <c r="B1838" s="32"/>
      <c r="C1838" s="35"/>
      <c r="D1838" s="35"/>
      <c r="E1838" s="35"/>
      <c r="F1838" s="35"/>
      <c r="G1838" s="35"/>
      <c r="H1838" s="35"/>
      <c r="I1838" s="35"/>
      <c r="J1838" s="35"/>
      <c r="K1838" s="35"/>
      <c r="L1838" s="35"/>
      <c r="M1838" s="35"/>
    </row>
    <row r="1839" spans="2:13" x14ac:dyDescent="0.35">
      <c r="B1839" s="32"/>
      <c r="C1839" s="35"/>
      <c r="D1839" s="35"/>
      <c r="E1839" s="35"/>
      <c r="F1839" s="35"/>
      <c r="G1839" s="35"/>
      <c r="H1839" s="35"/>
      <c r="I1839" s="35"/>
      <c r="J1839" s="35"/>
      <c r="K1839" s="35"/>
      <c r="L1839" s="35"/>
      <c r="M1839" s="35"/>
    </row>
    <row r="1840" spans="2:13" x14ac:dyDescent="0.35">
      <c r="B1840" s="32"/>
      <c r="C1840" s="35"/>
      <c r="D1840" s="35"/>
      <c r="E1840" s="35"/>
      <c r="F1840" s="35"/>
      <c r="G1840" s="35"/>
      <c r="H1840" s="35"/>
      <c r="I1840" s="35"/>
      <c r="J1840" s="35"/>
      <c r="K1840" s="35"/>
      <c r="L1840" s="35"/>
      <c r="M1840" s="35"/>
    </row>
    <row r="1841" spans="2:13" x14ac:dyDescent="0.35">
      <c r="B1841" s="32"/>
      <c r="C1841" s="35"/>
      <c r="D1841" s="35"/>
      <c r="E1841" s="35"/>
      <c r="F1841" s="35"/>
      <c r="G1841" s="35"/>
      <c r="H1841" s="35"/>
      <c r="I1841" s="35"/>
      <c r="J1841" s="35"/>
      <c r="K1841" s="35"/>
      <c r="L1841" s="35"/>
      <c r="M1841" s="35"/>
    </row>
    <row r="1842" spans="2:13" x14ac:dyDescent="0.35">
      <c r="B1842" s="32"/>
      <c r="C1842" s="35"/>
      <c r="D1842" s="35"/>
      <c r="E1842" s="35"/>
      <c r="F1842" s="35"/>
      <c r="G1842" s="35"/>
      <c r="H1842" s="35"/>
      <c r="I1842" s="35"/>
      <c r="J1842" s="35"/>
      <c r="K1842" s="35"/>
      <c r="L1842" s="35"/>
      <c r="M1842" s="35"/>
    </row>
    <row r="1843" spans="2:13" x14ac:dyDescent="0.35">
      <c r="B1843" s="32"/>
      <c r="C1843" s="35"/>
      <c r="D1843" s="35"/>
      <c r="E1843" s="35"/>
      <c r="F1843" s="35"/>
      <c r="G1843" s="35"/>
      <c r="H1843" s="35"/>
      <c r="I1843" s="35"/>
      <c r="J1843" s="35"/>
      <c r="K1843" s="35"/>
      <c r="L1843" s="35"/>
      <c r="M1843" s="35"/>
    </row>
    <row r="1844" spans="2:13" x14ac:dyDescent="0.35">
      <c r="B1844" s="32"/>
      <c r="C1844" s="35"/>
      <c r="D1844" s="35"/>
      <c r="E1844" s="35"/>
      <c r="F1844" s="35"/>
      <c r="G1844" s="35"/>
      <c r="H1844" s="35"/>
      <c r="I1844" s="35"/>
      <c r="J1844" s="35"/>
      <c r="K1844" s="35"/>
      <c r="L1844" s="35"/>
      <c r="M1844" s="35"/>
    </row>
    <row r="1845" spans="2:13" x14ac:dyDescent="0.35">
      <c r="B1845" s="32"/>
      <c r="C1845" s="35"/>
      <c r="D1845" s="35"/>
      <c r="E1845" s="35"/>
      <c r="F1845" s="35"/>
      <c r="G1845" s="35"/>
      <c r="H1845" s="35"/>
      <c r="I1845" s="35"/>
      <c r="J1845" s="35"/>
      <c r="K1845" s="35"/>
      <c r="L1845" s="35"/>
      <c r="M1845" s="35"/>
    </row>
    <row r="1846" spans="2:13" x14ac:dyDescent="0.35">
      <c r="B1846" s="32"/>
      <c r="C1846" s="35"/>
      <c r="D1846" s="35"/>
      <c r="E1846" s="35"/>
      <c r="F1846" s="35"/>
      <c r="G1846" s="35"/>
      <c r="H1846" s="35"/>
      <c r="I1846" s="35"/>
      <c r="J1846" s="35"/>
      <c r="K1846" s="35"/>
      <c r="L1846" s="35"/>
      <c r="M1846" s="35"/>
    </row>
    <row r="1847" spans="2:13" x14ac:dyDescent="0.35">
      <c r="B1847" s="32"/>
      <c r="C1847" s="35"/>
      <c r="D1847" s="35"/>
      <c r="E1847" s="35"/>
      <c r="F1847" s="35"/>
      <c r="G1847" s="35"/>
      <c r="H1847" s="35"/>
      <c r="I1847" s="35"/>
      <c r="J1847" s="35"/>
      <c r="K1847" s="35"/>
      <c r="L1847" s="35"/>
      <c r="M1847" s="35"/>
    </row>
    <row r="1848" spans="2:13" x14ac:dyDescent="0.35">
      <c r="B1848" s="32"/>
      <c r="C1848" s="35"/>
      <c r="D1848" s="35"/>
      <c r="E1848" s="35"/>
      <c r="F1848" s="35"/>
      <c r="G1848" s="35"/>
      <c r="H1848" s="35"/>
      <c r="I1848" s="35"/>
      <c r="J1848" s="35"/>
      <c r="K1848" s="35"/>
      <c r="L1848" s="35"/>
      <c r="M1848" s="35"/>
    </row>
    <row r="1849" spans="2:13" x14ac:dyDescent="0.35">
      <c r="B1849" s="32"/>
      <c r="C1849" s="35"/>
      <c r="D1849" s="35"/>
      <c r="E1849" s="35"/>
      <c r="F1849" s="35"/>
      <c r="G1849" s="35"/>
      <c r="H1849" s="35"/>
      <c r="I1849" s="35"/>
      <c r="J1849" s="35"/>
      <c r="K1849" s="35"/>
      <c r="L1849" s="35"/>
      <c r="M1849" s="35"/>
    </row>
    <row r="1850" spans="2:13" x14ac:dyDescent="0.35">
      <c r="B1850" s="32"/>
      <c r="C1850" s="35"/>
      <c r="D1850" s="35"/>
      <c r="E1850" s="35"/>
      <c r="F1850" s="35"/>
      <c r="G1850" s="35"/>
      <c r="H1850" s="35"/>
      <c r="I1850" s="35"/>
      <c r="J1850" s="35"/>
      <c r="K1850" s="35"/>
      <c r="L1850" s="35"/>
      <c r="M1850" s="35"/>
    </row>
    <row r="1851" spans="2:13" x14ac:dyDescent="0.35">
      <c r="B1851" s="32"/>
      <c r="C1851" s="35"/>
      <c r="D1851" s="35"/>
      <c r="E1851" s="35"/>
      <c r="F1851" s="35"/>
      <c r="G1851" s="35"/>
      <c r="H1851" s="35"/>
      <c r="I1851" s="35"/>
      <c r="J1851" s="35"/>
      <c r="K1851" s="35"/>
      <c r="L1851" s="35"/>
      <c r="M1851" s="35"/>
    </row>
    <row r="1852" spans="2:13" x14ac:dyDescent="0.35">
      <c r="B1852" s="32"/>
      <c r="C1852" s="35"/>
      <c r="D1852" s="35"/>
      <c r="E1852" s="35"/>
      <c r="F1852" s="35"/>
      <c r="G1852" s="35"/>
      <c r="H1852" s="35"/>
      <c r="I1852" s="35"/>
      <c r="J1852" s="35"/>
      <c r="K1852" s="35"/>
      <c r="L1852" s="35"/>
      <c r="M1852" s="35"/>
    </row>
    <row r="1853" spans="2:13" x14ac:dyDescent="0.35">
      <c r="B1853" s="32"/>
      <c r="C1853" s="35"/>
      <c r="D1853" s="35"/>
      <c r="E1853" s="35"/>
      <c r="F1853" s="35"/>
      <c r="G1853" s="35"/>
      <c r="H1853" s="35"/>
      <c r="I1853" s="35"/>
      <c r="J1853" s="35"/>
      <c r="K1853" s="35"/>
      <c r="L1853" s="35"/>
      <c r="M1853" s="35"/>
    </row>
    <row r="1854" spans="2:13" x14ac:dyDescent="0.35">
      <c r="B1854" s="32"/>
      <c r="C1854" s="35"/>
      <c r="D1854" s="35"/>
      <c r="E1854" s="35"/>
      <c r="F1854" s="35"/>
      <c r="G1854" s="35"/>
      <c r="H1854" s="35"/>
      <c r="I1854" s="35"/>
      <c r="J1854" s="35"/>
      <c r="K1854" s="35"/>
      <c r="L1854" s="35"/>
      <c r="M1854" s="35"/>
    </row>
    <row r="1855" spans="2:13" x14ac:dyDescent="0.35">
      <c r="B1855" s="32"/>
      <c r="C1855" s="35"/>
      <c r="D1855" s="35"/>
      <c r="E1855" s="35"/>
      <c r="F1855" s="35"/>
      <c r="G1855" s="35"/>
      <c r="H1855" s="35"/>
      <c r="I1855" s="35"/>
      <c r="J1855" s="35"/>
      <c r="K1855" s="35"/>
      <c r="L1855" s="35"/>
      <c r="M1855" s="35"/>
    </row>
    <row r="1856" spans="2:13" x14ac:dyDescent="0.35">
      <c r="B1856" s="32"/>
      <c r="C1856" s="35"/>
      <c r="D1856" s="35"/>
      <c r="E1856" s="35"/>
      <c r="F1856" s="35"/>
      <c r="G1856" s="35"/>
      <c r="H1856" s="35"/>
      <c r="I1856" s="35"/>
      <c r="J1856" s="35"/>
      <c r="K1856" s="35"/>
      <c r="L1856" s="35"/>
      <c r="M1856" s="35"/>
    </row>
    <row r="1857" spans="2:13" x14ac:dyDescent="0.35">
      <c r="B1857" s="32"/>
      <c r="C1857" s="35"/>
      <c r="D1857" s="35"/>
      <c r="E1857" s="35"/>
      <c r="F1857" s="35"/>
      <c r="G1857" s="35"/>
      <c r="H1857" s="35"/>
      <c r="I1857" s="35"/>
      <c r="J1857" s="35"/>
      <c r="K1857" s="35"/>
      <c r="L1857" s="35"/>
      <c r="M1857" s="35"/>
    </row>
    <row r="1858" spans="2:13" x14ac:dyDescent="0.35">
      <c r="B1858" s="32"/>
      <c r="C1858" s="35"/>
      <c r="D1858" s="35"/>
      <c r="E1858" s="35"/>
      <c r="F1858" s="35"/>
      <c r="G1858" s="35"/>
      <c r="H1858" s="35"/>
      <c r="I1858" s="35"/>
      <c r="J1858" s="35"/>
      <c r="K1858" s="35"/>
      <c r="L1858" s="35"/>
      <c r="M1858" s="35"/>
    </row>
    <row r="1859" spans="2:13" x14ac:dyDescent="0.35">
      <c r="B1859" s="32"/>
      <c r="C1859" s="35"/>
      <c r="D1859" s="35"/>
      <c r="E1859" s="35"/>
      <c r="F1859" s="35"/>
      <c r="G1859" s="35"/>
      <c r="H1859" s="35"/>
      <c r="I1859" s="35"/>
      <c r="J1859" s="35"/>
      <c r="K1859" s="35"/>
      <c r="L1859" s="35"/>
      <c r="M1859" s="35"/>
    </row>
    <row r="1860" spans="2:13" x14ac:dyDescent="0.35">
      <c r="B1860" s="32"/>
      <c r="C1860" s="35"/>
      <c r="D1860" s="35"/>
      <c r="E1860" s="35"/>
      <c r="F1860" s="35"/>
      <c r="G1860" s="35"/>
      <c r="H1860" s="35"/>
      <c r="I1860" s="35"/>
      <c r="J1860" s="35"/>
      <c r="K1860" s="35"/>
      <c r="L1860" s="35"/>
      <c r="M1860" s="35"/>
    </row>
    <row r="1861" spans="2:13" x14ac:dyDescent="0.35">
      <c r="B1861" s="32"/>
      <c r="C1861" s="35"/>
      <c r="D1861" s="35"/>
      <c r="E1861" s="35"/>
      <c r="F1861" s="35"/>
      <c r="G1861" s="35"/>
      <c r="H1861" s="35"/>
      <c r="I1861" s="35"/>
      <c r="J1861" s="35"/>
      <c r="K1861" s="35"/>
      <c r="L1861" s="35"/>
      <c r="M1861" s="35"/>
    </row>
    <row r="1862" spans="2:13" x14ac:dyDescent="0.35">
      <c r="B1862" s="32"/>
      <c r="C1862" s="35"/>
      <c r="D1862" s="35"/>
      <c r="E1862" s="35"/>
      <c r="F1862" s="35"/>
      <c r="G1862" s="35"/>
      <c r="H1862" s="35"/>
      <c r="I1862" s="35"/>
      <c r="J1862" s="35"/>
      <c r="K1862" s="35"/>
      <c r="L1862" s="35"/>
      <c r="M1862" s="35"/>
    </row>
    <row r="1863" spans="2:13" x14ac:dyDescent="0.35">
      <c r="B1863" s="32"/>
      <c r="C1863" s="35"/>
      <c r="D1863" s="35"/>
      <c r="E1863" s="35"/>
      <c r="F1863" s="35"/>
      <c r="G1863" s="35"/>
      <c r="H1863" s="35"/>
      <c r="I1863" s="35"/>
      <c r="J1863" s="35"/>
      <c r="K1863" s="35"/>
      <c r="L1863" s="35"/>
      <c r="M1863" s="35"/>
    </row>
    <row r="1864" spans="2:13" x14ac:dyDescent="0.35">
      <c r="B1864" s="32"/>
      <c r="C1864" s="35"/>
      <c r="D1864" s="35"/>
      <c r="E1864" s="35"/>
      <c r="F1864" s="35"/>
      <c r="G1864" s="35"/>
      <c r="H1864" s="35"/>
      <c r="I1864" s="35"/>
      <c r="J1864" s="35"/>
      <c r="K1864" s="35"/>
      <c r="L1864" s="35"/>
      <c r="M1864" s="35"/>
    </row>
    <row r="1865" spans="2:13" x14ac:dyDescent="0.35">
      <c r="B1865" s="32"/>
      <c r="C1865" s="35"/>
      <c r="D1865" s="35"/>
      <c r="E1865" s="35"/>
      <c r="F1865" s="35"/>
      <c r="G1865" s="35"/>
      <c r="H1865" s="35"/>
      <c r="I1865" s="35"/>
      <c r="J1865" s="35"/>
      <c r="K1865" s="35"/>
      <c r="L1865" s="35"/>
      <c r="M1865" s="35"/>
    </row>
    <row r="1866" spans="2:13" x14ac:dyDescent="0.35">
      <c r="B1866" s="32"/>
      <c r="C1866" s="35"/>
      <c r="D1866" s="35"/>
      <c r="E1866" s="35"/>
      <c r="F1866" s="35"/>
      <c r="G1866" s="35"/>
      <c r="H1866" s="35"/>
      <c r="I1866" s="35"/>
      <c r="J1866" s="35"/>
      <c r="K1866" s="35"/>
      <c r="L1866" s="35"/>
      <c r="M1866" s="35"/>
    </row>
    <row r="1867" spans="2:13" x14ac:dyDescent="0.35">
      <c r="B1867" s="32"/>
      <c r="C1867" s="35"/>
      <c r="D1867" s="35"/>
      <c r="E1867" s="35"/>
      <c r="F1867" s="35"/>
      <c r="G1867" s="35"/>
      <c r="H1867" s="35"/>
      <c r="I1867" s="35"/>
      <c r="J1867" s="35"/>
      <c r="K1867" s="35"/>
      <c r="L1867" s="35"/>
      <c r="M1867" s="35"/>
    </row>
    <row r="1868" spans="2:13" x14ac:dyDescent="0.35">
      <c r="B1868" s="32"/>
      <c r="C1868" s="35"/>
      <c r="D1868" s="35"/>
      <c r="E1868" s="35"/>
      <c r="F1868" s="35"/>
      <c r="G1868" s="35"/>
      <c r="H1868" s="35"/>
      <c r="I1868" s="35"/>
      <c r="J1868" s="35"/>
      <c r="K1868" s="35"/>
      <c r="L1868" s="35"/>
      <c r="M1868" s="35"/>
    </row>
    <row r="1869" spans="2:13" x14ac:dyDescent="0.35">
      <c r="B1869" s="32"/>
      <c r="C1869" s="35"/>
      <c r="D1869" s="35"/>
      <c r="E1869" s="35"/>
      <c r="F1869" s="35"/>
      <c r="G1869" s="35"/>
      <c r="H1869" s="35"/>
      <c r="I1869" s="35"/>
      <c r="J1869" s="35"/>
      <c r="K1869" s="35"/>
      <c r="L1869" s="35"/>
      <c r="M1869" s="35"/>
    </row>
    <row r="1870" spans="2:13" x14ac:dyDescent="0.35">
      <c r="B1870" s="32"/>
      <c r="C1870" s="35"/>
      <c r="D1870" s="35"/>
      <c r="E1870" s="35"/>
      <c r="F1870" s="35"/>
      <c r="G1870" s="35"/>
      <c r="H1870" s="35"/>
      <c r="I1870" s="35"/>
      <c r="J1870" s="35"/>
      <c r="K1870" s="35"/>
      <c r="L1870" s="35"/>
      <c r="M1870" s="35"/>
    </row>
    <row r="1871" spans="2:13" x14ac:dyDescent="0.35">
      <c r="B1871" s="32"/>
      <c r="C1871" s="35"/>
      <c r="D1871" s="35"/>
      <c r="E1871" s="35"/>
      <c r="F1871" s="35"/>
      <c r="G1871" s="35"/>
      <c r="H1871" s="35"/>
      <c r="I1871" s="35"/>
      <c r="J1871" s="35"/>
      <c r="K1871" s="35"/>
      <c r="L1871" s="35"/>
      <c r="M1871" s="35"/>
    </row>
    <row r="1872" spans="2:13" x14ac:dyDescent="0.35">
      <c r="B1872" s="32"/>
      <c r="C1872" s="35"/>
      <c r="D1872" s="35"/>
      <c r="E1872" s="35"/>
      <c r="F1872" s="35"/>
      <c r="G1872" s="35"/>
      <c r="H1872" s="35"/>
      <c r="I1872" s="35"/>
      <c r="J1872" s="35"/>
      <c r="K1872" s="35"/>
      <c r="L1872" s="35"/>
      <c r="M1872" s="35"/>
    </row>
    <row r="1873" spans="2:13" x14ac:dyDescent="0.35">
      <c r="B1873" s="32"/>
      <c r="C1873" s="35"/>
      <c r="D1873" s="35"/>
      <c r="E1873" s="35"/>
      <c r="F1873" s="35"/>
      <c r="G1873" s="35"/>
      <c r="H1873" s="35"/>
      <c r="I1873" s="35"/>
      <c r="J1873" s="35"/>
      <c r="K1873" s="35"/>
      <c r="L1873" s="35"/>
      <c r="M1873" s="35"/>
    </row>
    <row r="1874" spans="2:13" x14ac:dyDescent="0.35">
      <c r="B1874" s="32"/>
      <c r="C1874" s="35"/>
      <c r="D1874" s="35"/>
      <c r="E1874" s="35"/>
      <c r="F1874" s="35"/>
      <c r="G1874" s="35"/>
      <c r="H1874" s="35"/>
      <c r="I1874" s="35"/>
      <c r="J1874" s="35"/>
      <c r="K1874" s="35"/>
      <c r="L1874" s="35"/>
      <c r="M1874" s="35"/>
    </row>
    <row r="1875" spans="2:13" x14ac:dyDescent="0.35">
      <c r="B1875" s="32"/>
      <c r="C1875" s="35"/>
      <c r="D1875" s="35"/>
      <c r="E1875" s="35"/>
      <c r="F1875" s="35"/>
      <c r="G1875" s="35"/>
      <c r="H1875" s="35"/>
      <c r="I1875" s="35"/>
      <c r="J1875" s="35"/>
      <c r="K1875" s="35"/>
      <c r="L1875" s="35"/>
      <c r="M1875" s="35"/>
    </row>
    <row r="1876" spans="2:13" x14ac:dyDescent="0.35">
      <c r="B1876" s="32"/>
      <c r="C1876" s="35"/>
      <c r="D1876" s="35"/>
      <c r="E1876" s="35"/>
      <c r="F1876" s="35"/>
      <c r="G1876" s="35"/>
      <c r="H1876" s="35"/>
      <c r="I1876" s="35"/>
      <c r="J1876" s="35"/>
      <c r="K1876" s="35"/>
      <c r="L1876" s="35"/>
      <c r="M1876" s="35"/>
    </row>
    <row r="1877" spans="2:13" x14ac:dyDescent="0.35">
      <c r="B1877" s="32"/>
      <c r="C1877" s="35"/>
      <c r="D1877" s="35"/>
      <c r="E1877" s="35"/>
      <c r="F1877" s="35"/>
      <c r="G1877" s="35"/>
      <c r="H1877" s="35"/>
      <c r="I1877" s="35"/>
      <c r="J1877" s="35"/>
      <c r="K1877" s="35"/>
      <c r="L1877" s="35"/>
      <c r="M1877" s="35"/>
    </row>
    <row r="1878" spans="2:13" x14ac:dyDescent="0.35">
      <c r="B1878" s="32"/>
      <c r="C1878" s="35"/>
      <c r="D1878" s="35"/>
      <c r="E1878" s="35"/>
      <c r="F1878" s="35"/>
      <c r="G1878" s="35"/>
      <c r="H1878" s="35"/>
      <c r="I1878" s="35"/>
      <c r="J1878" s="35"/>
      <c r="K1878" s="35"/>
      <c r="L1878" s="35"/>
      <c r="M1878" s="35"/>
    </row>
    <row r="1879" spans="2:13" x14ac:dyDescent="0.35">
      <c r="B1879" s="32"/>
      <c r="C1879" s="35"/>
      <c r="D1879" s="35"/>
      <c r="E1879" s="35"/>
      <c r="F1879" s="35"/>
      <c r="G1879" s="35"/>
      <c r="H1879" s="35"/>
      <c r="I1879" s="35"/>
      <c r="J1879" s="35"/>
      <c r="K1879" s="35"/>
      <c r="L1879" s="35"/>
      <c r="M1879" s="35"/>
    </row>
    <row r="1880" spans="2:13" x14ac:dyDescent="0.35">
      <c r="B1880" s="32"/>
      <c r="C1880" s="35"/>
      <c r="D1880" s="35"/>
      <c r="E1880" s="35"/>
      <c r="F1880" s="35"/>
      <c r="G1880" s="35"/>
      <c r="H1880" s="35"/>
      <c r="I1880" s="35"/>
      <c r="J1880" s="35"/>
      <c r="K1880" s="35"/>
      <c r="L1880" s="35"/>
      <c r="M1880" s="35"/>
    </row>
    <row r="1881" spans="2:13" x14ac:dyDescent="0.35">
      <c r="B1881" s="32"/>
      <c r="C1881" s="35"/>
      <c r="D1881" s="35"/>
      <c r="E1881" s="35"/>
      <c r="F1881" s="35"/>
      <c r="G1881" s="35"/>
      <c r="H1881" s="35"/>
      <c r="I1881" s="35"/>
      <c r="J1881" s="35"/>
      <c r="K1881" s="35"/>
      <c r="L1881" s="35"/>
      <c r="M1881" s="35"/>
    </row>
    <row r="1882" spans="2:13" x14ac:dyDescent="0.35">
      <c r="B1882" s="32"/>
      <c r="C1882" s="35"/>
      <c r="D1882" s="35"/>
      <c r="E1882" s="35"/>
      <c r="F1882" s="35"/>
      <c r="G1882" s="35"/>
      <c r="H1882" s="35"/>
      <c r="I1882" s="35"/>
      <c r="J1882" s="35"/>
      <c r="K1882" s="35"/>
      <c r="L1882" s="35"/>
      <c r="M1882" s="35"/>
    </row>
    <row r="1883" spans="2:13" x14ac:dyDescent="0.35">
      <c r="B1883" s="32"/>
      <c r="C1883" s="35"/>
      <c r="D1883" s="35"/>
      <c r="E1883" s="35"/>
      <c r="F1883" s="35"/>
      <c r="G1883" s="35"/>
      <c r="H1883" s="35"/>
      <c r="I1883" s="35"/>
      <c r="J1883" s="35"/>
      <c r="K1883" s="35"/>
      <c r="L1883" s="35"/>
      <c r="M1883" s="35"/>
    </row>
    <row r="1884" spans="2:13" x14ac:dyDescent="0.35">
      <c r="B1884" s="32"/>
      <c r="C1884" s="35"/>
      <c r="D1884" s="35"/>
      <c r="E1884" s="35"/>
      <c r="F1884" s="35"/>
      <c r="G1884" s="35"/>
      <c r="H1884" s="35"/>
      <c r="I1884" s="35"/>
      <c r="J1884" s="35"/>
      <c r="K1884" s="35"/>
      <c r="L1884" s="35"/>
      <c r="M1884" s="35"/>
    </row>
    <row r="1885" spans="2:13" x14ac:dyDescent="0.35">
      <c r="B1885" s="32"/>
      <c r="C1885" s="35"/>
      <c r="D1885" s="35"/>
      <c r="E1885" s="35"/>
      <c r="F1885" s="35"/>
      <c r="G1885" s="35"/>
      <c r="H1885" s="35"/>
      <c r="I1885" s="35"/>
      <c r="J1885" s="35"/>
      <c r="K1885" s="35"/>
      <c r="L1885" s="35"/>
      <c r="M1885" s="35"/>
    </row>
    <row r="1886" spans="2:13" x14ac:dyDescent="0.35">
      <c r="B1886" s="32"/>
      <c r="C1886" s="35"/>
      <c r="D1886" s="35"/>
      <c r="E1886" s="35"/>
      <c r="F1886" s="35"/>
      <c r="G1886" s="35"/>
      <c r="H1886" s="35"/>
      <c r="I1886" s="35"/>
      <c r="J1886" s="35"/>
      <c r="K1886" s="35"/>
      <c r="L1886" s="35"/>
      <c r="M1886" s="35"/>
    </row>
    <row r="1887" spans="2:13" x14ac:dyDescent="0.35">
      <c r="B1887" s="32"/>
      <c r="C1887" s="35"/>
      <c r="D1887" s="35"/>
      <c r="E1887" s="35"/>
      <c r="F1887" s="35"/>
      <c r="G1887" s="35"/>
      <c r="H1887" s="35"/>
      <c r="I1887" s="35"/>
      <c r="J1887" s="35"/>
      <c r="K1887" s="35"/>
      <c r="L1887" s="35"/>
      <c r="M1887" s="35"/>
    </row>
    <row r="1888" spans="2:13" x14ac:dyDescent="0.35">
      <c r="B1888" s="32"/>
      <c r="C1888" s="35"/>
      <c r="D1888" s="35"/>
      <c r="E1888" s="35"/>
      <c r="F1888" s="35"/>
      <c r="G1888" s="35"/>
      <c r="H1888" s="35"/>
      <c r="I1888" s="35"/>
      <c r="J1888" s="35"/>
      <c r="K1888" s="35"/>
      <c r="L1888" s="35"/>
      <c r="M1888" s="35"/>
    </row>
    <row r="1889" spans="2:13" x14ac:dyDescent="0.35">
      <c r="B1889" s="32"/>
      <c r="C1889" s="35"/>
      <c r="D1889" s="35"/>
      <c r="E1889" s="35"/>
      <c r="F1889" s="35"/>
      <c r="G1889" s="35"/>
      <c r="H1889" s="35"/>
      <c r="I1889" s="35"/>
      <c r="J1889" s="35"/>
      <c r="K1889" s="35"/>
      <c r="L1889" s="35"/>
      <c r="M1889" s="35"/>
    </row>
    <row r="1890" spans="2:13" x14ac:dyDescent="0.35">
      <c r="B1890" s="32"/>
      <c r="C1890" s="35"/>
      <c r="D1890" s="35"/>
      <c r="E1890" s="35"/>
      <c r="F1890" s="35"/>
      <c r="G1890" s="35"/>
      <c r="H1890" s="35"/>
      <c r="I1890" s="35"/>
      <c r="J1890" s="35"/>
      <c r="K1890" s="35"/>
      <c r="L1890" s="35"/>
      <c r="M1890" s="35"/>
    </row>
    <row r="1891" spans="2:13" x14ac:dyDescent="0.35">
      <c r="B1891" s="32"/>
      <c r="C1891" s="35"/>
      <c r="D1891" s="35"/>
      <c r="E1891" s="35"/>
      <c r="F1891" s="35"/>
      <c r="G1891" s="35"/>
      <c r="H1891" s="35"/>
      <c r="I1891" s="35"/>
      <c r="J1891" s="35"/>
      <c r="K1891" s="35"/>
      <c r="L1891" s="35"/>
      <c r="M1891" s="35"/>
    </row>
    <row r="1892" spans="2:13" x14ac:dyDescent="0.35">
      <c r="B1892" s="32"/>
      <c r="C1892" s="35"/>
      <c r="D1892" s="35"/>
      <c r="E1892" s="35"/>
      <c r="F1892" s="35"/>
      <c r="G1892" s="35"/>
      <c r="H1892" s="35"/>
      <c r="I1892" s="35"/>
      <c r="J1892" s="35"/>
      <c r="K1892" s="35"/>
      <c r="L1892" s="35"/>
      <c r="M1892" s="35"/>
    </row>
    <row r="1893" spans="2:13" x14ac:dyDescent="0.35">
      <c r="B1893" s="32"/>
      <c r="C1893" s="35"/>
      <c r="D1893" s="35"/>
      <c r="E1893" s="35"/>
      <c r="F1893" s="35"/>
      <c r="G1893" s="35"/>
      <c r="H1893" s="35"/>
      <c r="I1893" s="35"/>
      <c r="J1893" s="35"/>
      <c r="K1893" s="35"/>
      <c r="L1893" s="35"/>
      <c r="M1893" s="35"/>
    </row>
    <row r="1894" spans="2:13" x14ac:dyDescent="0.35">
      <c r="B1894" s="32"/>
      <c r="C1894" s="35"/>
      <c r="D1894" s="35"/>
      <c r="E1894" s="35"/>
      <c r="F1894" s="35"/>
      <c r="G1894" s="35"/>
      <c r="H1894" s="35"/>
      <c r="I1894" s="35"/>
      <c r="J1894" s="35"/>
      <c r="K1894" s="35"/>
      <c r="L1894" s="35"/>
      <c r="M1894" s="35"/>
    </row>
    <row r="1895" spans="2:13" x14ac:dyDescent="0.35">
      <c r="B1895" s="32"/>
      <c r="C1895" s="35"/>
      <c r="D1895" s="35"/>
      <c r="E1895" s="35"/>
      <c r="F1895" s="35"/>
      <c r="G1895" s="35"/>
      <c r="H1895" s="35"/>
      <c r="I1895" s="35"/>
      <c r="J1895" s="35"/>
      <c r="K1895" s="35"/>
      <c r="L1895" s="35"/>
      <c r="M1895" s="35"/>
    </row>
    <row r="1896" spans="2:13" x14ac:dyDescent="0.35">
      <c r="B1896" s="32"/>
      <c r="C1896" s="35"/>
      <c r="D1896" s="35"/>
      <c r="E1896" s="35"/>
      <c r="F1896" s="35"/>
      <c r="G1896" s="35"/>
      <c r="H1896" s="35"/>
      <c r="I1896" s="35"/>
      <c r="J1896" s="35"/>
      <c r="K1896" s="35"/>
      <c r="L1896" s="35"/>
      <c r="M1896" s="35"/>
    </row>
    <row r="1897" spans="2:13" x14ac:dyDescent="0.35">
      <c r="B1897" s="32"/>
      <c r="C1897" s="35"/>
      <c r="D1897" s="35"/>
      <c r="E1897" s="35"/>
      <c r="F1897" s="35"/>
      <c r="G1897" s="35"/>
      <c r="H1897" s="35"/>
      <c r="I1897" s="35"/>
      <c r="J1897" s="35"/>
      <c r="K1897" s="35"/>
      <c r="L1897" s="35"/>
      <c r="M1897" s="35"/>
    </row>
    <row r="1898" spans="2:13" x14ac:dyDescent="0.35">
      <c r="B1898" s="32"/>
      <c r="C1898" s="35"/>
      <c r="D1898" s="35"/>
      <c r="E1898" s="35"/>
      <c r="F1898" s="35"/>
      <c r="G1898" s="35"/>
      <c r="H1898" s="35"/>
      <c r="I1898" s="35"/>
      <c r="J1898" s="35"/>
      <c r="K1898" s="35"/>
      <c r="L1898" s="35"/>
      <c r="M1898" s="35"/>
    </row>
    <row r="1899" spans="2:13" x14ac:dyDescent="0.35">
      <c r="B1899" s="32"/>
      <c r="C1899" s="35"/>
      <c r="D1899" s="35"/>
      <c r="E1899" s="35"/>
      <c r="F1899" s="35"/>
      <c r="G1899" s="35"/>
      <c r="H1899" s="35"/>
      <c r="I1899" s="35"/>
      <c r="J1899" s="35"/>
      <c r="K1899" s="35"/>
      <c r="L1899" s="35"/>
      <c r="M1899" s="35"/>
    </row>
    <row r="1900" spans="2:13" x14ac:dyDescent="0.35">
      <c r="B1900" s="32"/>
      <c r="C1900" s="35"/>
      <c r="D1900" s="35"/>
      <c r="E1900" s="35"/>
      <c r="F1900" s="35"/>
      <c r="G1900" s="35"/>
      <c r="H1900" s="35"/>
      <c r="I1900" s="35"/>
      <c r="J1900" s="35"/>
      <c r="K1900" s="35"/>
      <c r="L1900" s="35"/>
      <c r="M1900" s="35"/>
    </row>
    <row r="1901" spans="2:13" x14ac:dyDescent="0.35">
      <c r="B1901" s="32"/>
      <c r="C1901" s="35"/>
      <c r="D1901" s="35"/>
      <c r="E1901" s="35"/>
      <c r="F1901" s="35"/>
      <c r="G1901" s="35"/>
      <c r="H1901" s="35"/>
      <c r="I1901" s="35"/>
      <c r="J1901" s="35"/>
      <c r="K1901" s="35"/>
      <c r="L1901" s="35"/>
      <c r="M1901" s="35"/>
    </row>
    <row r="1902" spans="2:13" x14ac:dyDescent="0.35">
      <c r="B1902" s="32"/>
      <c r="C1902" s="35"/>
      <c r="D1902" s="35"/>
      <c r="E1902" s="35"/>
      <c r="F1902" s="35"/>
      <c r="G1902" s="35"/>
      <c r="H1902" s="35"/>
      <c r="I1902" s="35"/>
      <c r="J1902" s="35"/>
      <c r="K1902" s="35"/>
      <c r="L1902" s="35"/>
      <c r="M1902" s="35"/>
    </row>
    <row r="1903" spans="2:13" x14ac:dyDescent="0.35">
      <c r="B1903" s="32"/>
      <c r="C1903" s="35"/>
      <c r="D1903" s="35"/>
      <c r="E1903" s="35"/>
      <c r="F1903" s="35"/>
      <c r="G1903" s="35"/>
      <c r="H1903" s="35"/>
      <c r="I1903" s="35"/>
      <c r="J1903" s="35"/>
      <c r="K1903" s="35"/>
      <c r="L1903" s="35"/>
      <c r="M1903" s="35"/>
    </row>
    <row r="1904" spans="2:13" x14ac:dyDescent="0.35">
      <c r="B1904" s="32"/>
      <c r="C1904" s="35"/>
      <c r="D1904" s="35"/>
      <c r="E1904" s="35"/>
      <c r="F1904" s="35"/>
      <c r="G1904" s="35"/>
      <c r="H1904" s="35"/>
      <c r="I1904" s="35"/>
      <c r="J1904" s="35"/>
      <c r="K1904" s="35"/>
      <c r="L1904" s="35"/>
      <c r="M1904" s="35"/>
    </row>
    <row r="1905" spans="2:13" x14ac:dyDescent="0.35">
      <c r="B1905" s="32"/>
      <c r="C1905" s="35"/>
      <c r="D1905" s="35"/>
      <c r="E1905" s="35"/>
      <c r="F1905" s="35"/>
      <c r="G1905" s="35"/>
      <c r="H1905" s="35"/>
      <c r="I1905" s="35"/>
      <c r="J1905" s="35"/>
      <c r="K1905" s="35"/>
      <c r="L1905" s="35"/>
      <c r="M1905" s="35"/>
    </row>
    <row r="1906" spans="2:13" x14ac:dyDescent="0.35">
      <c r="B1906" s="32"/>
      <c r="C1906" s="35"/>
      <c r="D1906" s="35"/>
      <c r="E1906" s="35"/>
      <c r="F1906" s="35"/>
      <c r="G1906" s="35"/>
      <c r="H1906" s="35"/>
      <c r="I1906" s="35"/>
      <c r="J1906" s="35"/>
      <c r="K1906" s="35"/>
      <c r="L1906" s="35"/>
      <c r="M1906" s="35"/>
    </row>
    <row r="1907" spans="2:13" x14ac:dyDescent="0.35">
      <c r="B1907" s="32"/>
      <c r="C1907" s="35"/>
      <c r="D1907" s="35"/>
      <c r="E1907" s="35"/>
      <c r="F1907" s="35"/>
      <c r="G1907" s="35"/>
      <c r="H1907" s="35"/>
      <c r="I1907" s="35"/>
      <c r="J1907" s="35"/>
      <c r="K1907" s="35"/>
      <c r="L1907" s="35"/>
      <c r="M1907" s="35"/>
    </row>
    <row r="1908" spans="2:13" x14ac:dyDescent="0.35">
      <c r="B1908" s="32"/>
      <c r="C1908" s="35"/>
      <c r="D1908" s="35"/>
      <c r="E1908" s="35"/>
      <c r="F1908" s="35"/>
      <c r="G1908" s="35"/>
      <c r="H1908" s="35"/>
      <c r="I1908" s="35"/>
      <c r="J1908" s="35"/>
      <c r="K1908" s="35"/>
      <c r="L1908" s="35"/>
      <c r="M1908" s="35"/>
    </row>
    <row r="1909" spans="2:13" x14ac:dyDescent="0.35">
      <c r="B1909" s="32"/>
      <c r="C1909" s="35"/>
      <c r="D1909" s="35"/>
      <c r="E1909" s="35"/>
      <c r="F1909" s="35"/>
      <c r="G1909" s="35"/>
      <c r="H1909" s="35"/>
      <c r="I1909" s="35"/>
      <c r="J1909" s="35"/>
      <c r="K1909" s="35"/>
      <c r="L1909" s="35"/>
      <c r="M1909" s="35"/>
    </row>
    <row r="1910" spans="2:13" x14ac:dyDescent="0.35">
      <c r="B1910" s="32"/>
      <c r="C1910" s="35"/>
      <c r="D1910" s="35"/>
      <c r="E1910" s="35"/>
      <c r="F1910" s="35"/>
      <c r="G1910" s="35"/>
      <c r="H1910" s="35"/>
      <c r="I1910" s="35"/>
      <c r="J1910" s="35"/>
      <c r="K1910" s="35"/>
      <c r="L1910" s="35"/>
      <c r="M1910" s="35"/>
    </row>
    <row r="1911" spans="2:13" x14ac:dyDescent="0.35">
      <c r="B1911" s="32"/>
      <c r="C1911" s="35"/>
      <c r="D1911" s="35"/>
      <c r="E1911" s="35"/>
      <c r="F1911" s="35"/>
      <c r="G1911" s="35"/>
      <c r="H1911" s="35"/>
      <c r="I1911" s="35"/>
      <c r="J1911" s="35"/>
      <c r="K1911" s="35"/>
      <c r="L1911" s="35"/>
      <c r="M1911" s="35"/>
    </row>
    <row r="1912" spans="2:13" x14ac:dyDescent="0.35">
      <c r="B1912" s="32"/>
      <c r="C1912" s="35"/>
      <c r="D1912" s="35"/>
      <c r="E1912" s="35"/>
      <c r="F1912" s="35"/>
      <c r="G1912" s="35"/>
      <c r="H1912" s="35"/>
      <c r="I1912" s="35"/>
      <c r="J1912" s="35"/>
      <c r="K1912" s="35"/>
      <c r="L1912" s="35"/>
      <c r="M1912" s="35"/>
    </row>
    <row r="1913" spans="2:13" x14ac:dyDescent="0.35">
      <c r="B1913" s="32"/>
      <c r="C1913" s="35"/>
      <c r="D1913" s="35"/>
      <c r="E1913" s="35"/>
      <c r="F1913" s="35"/>
      <c r="G1913" s="35"/>
      <c r="H1913" s="35"/>
      <c r="I1913" s="35"/>
      <c r="J1913" s="35"/>
      <c r="K1913" s="35"/>
      <c r="L1913" s="35"/>
      <c r="M1913" s="35"/>
    </row>
    <row r="1914" spans="2:13" x14ac:dyDescent="0.35">
      <c r="B1914" s="32"/>
      <c r="C1914" s="35"/>
      <c r="D1914" s="35"/>
      <c r="E1914" s="35"/>
      <c r="F1914" s="35"/>
      <c r="G1914" s="35"/>
      <c r="H1914" s="35"/>
      <c r="I1914" s="35"/>
      <c r="J1914" s="35"/>
      <c r="K1914" s="35"/>
      <c r="L1914" s="35"/>
      <c r="M1914" s="35"/>
    </row>
    <row r="1915" spans="2:13" x14ac:dyDescent="0.35">
      <c r="B1915" s="32"/>
      <c r="C1915" s="35"/>
      <c r="D1915" s="35"/>
      <c r="E1915" s="35"/>
      <c r="F1915" s="35"/>
      <c r="G1915" s="35"/>
      <c r="H1915" s="35"/>
      <c r="I1915" s="35"/>
      <c r="J1915" s="35"/>
      <c r="K1915" s="35"/>
      <c r="L1915" s="35"/>
      <c r="M1915" s="35"/>
    </row>
    <row r="1916" spans="2:13" x14ac:dyDescent="0.35">
      <c r="B1916" s="32"/>
      <c r="C1916" s="35"/>
      <c r="D1916" s="35"/>
      <c r="E1916" s="35"/>
      <c r="F1916" s="35"/>
      <c r="G1916" s="35"/>
      <c r="H1916" s="35"/>
      <c r="I1916" s="35"/>
      <c r="J1916" s="35"/>
      <c r="K1916" s="35"/>
      <c r="L1916" s="35"/>
      <c r="M1916" s="35"/>
    </row>
    <row r="1917" spans="2:13" x14ac:dyDescent="0.35">
      <c r="B1917" s="32"/>
      <c r="C1917" s="35"/>
      <c r="D1917" s="35"/>
      <c r="E1917" s="35"/>
      <c r="F1917" s="35"/>
      <c r="G1917" s="35"/>
      <c r="H1917" s="35"/>
      <c r="I1917" s="35"/>
      <c r="J1917" s="35"/>
      <c r="K1917" s="35"/>
      <c r="L1917" s="35"/>
      <c r="M1917" s="35"/>
    </row>
    <row r="1918" spans="2:13" x14ac:dyDescent="0.35">
      <c r="B1918" s="32"/>
      <c r="C1918" s="35"/>
      <c r="D1918" s="35"/>
      <c r="E1918" s="35"/>
      <c r="F1918" s="35"/>
      <c r="G1918" s="35"/>
      <c r="H1918" s="35"/>
      <c r="I1918" s="35"/>
      <c r="J1918" s="35"/>
      <c r="K1918" s="35"/>
      <c r="L1918" s="35"/>
      <c r="M1918" s="35"/>
    </row>
    <row r="1919" spans="2:13" x14ac:dyDescent="0.35">
      <c r="B1919" s="32"/>
      <c r="C1919" s="35"/>
      <c r="D1919" s="35"/>
      <c r="E1919" s="35"/>
      <c r="F1919" s="35"/>
      <c r="G1919" s="35"/>
      <c r="H1919" s="35"/>
      <c r="I1919" s="35"/>
      <c r="J1919" s="35"/>
      <c r="K1919" s="35"/>
      <c r="L1919" s="35"/>
      <c r="M1919" s="35"/>
    </row>
    <row r="1920" spans="2:13" x14ac:dyDescent="0.35">
      <c r="B1920" s="32"/>
      <c r="C1920" s="35"/>
      <c r="D1920" s="35"/>
      <c r="E1920" s="35"/>
      <c r="F1920" s="35"/>
      <c r="G1920" s="35"/>
      <c r="H1920" s="35"/>
      <c r="I1920" s="35"/>
      <c r="J1920" s="35"/>
      <c r="K1920" s="35"/>
      <c r="L1920" s="35"/>
      <c r="M1920" s="35"/>
    </row>
    <row r="1921" spans="2:13" x14ac:dyDescent="0.35">
      <c r="B1921" s="32"/>
      <c r="C1921" s="35"/>
      <c r="D1921" s="35"/>
      <c r="E1921" s="35"/>
      <c r="F1921" s="35"/>
      <c r="G1921" s="35"/>
      <c r="H1921" s="35"/>
      <c r="I1921" s="35"/>
      <c r="J1921" s="35"/>
      <c r="K1921" s="35"/>
      <c r="L1921" s="35"/>
      <c r="M1921" s="35"/>
    </row>
    <row r="1922" spans="2:13" x14ac:dyDescent="0.35">
      <c r="B1922" s="32"/>
      <c r="C1922" s="35"/>
      <c r="D1922" s="35"/>
      <c r="E1922" s="35"/>
      <c r="F1922" s="35"/>
      <c r="G1922" s="35"/>
      <c r="H1922" s="35"/>
      <c r="I1922" s="35"/>
      <c r="J1922" s="35"/>
      <c r="K1922" s="35"/>
      <c r="L1922" s="35"/>
      <c r="M1922" s="35"/>
    </row>
    <row r="1923" spans="2:13" x14ac:dyDescent="0.35">
      <c r="B1923" s="32"/>
      <c r="C1923" s="35"/>
      <c r="D1923" s="35"/>
      <c r="E1923" s="35"/>
      <c r="F1923" s="35"/>
      <c r="G1923" s="35"/>
      <c r="H1923" s="35"/>
      <c r="I1923" s="35"/>
      <c r="J1923" s="35"/>
      <c r="K1923" s="35"/>
      <c r="L1923" s="35"/>
      <c r="M1923" s="35"/>
    </row>
    <row r="1924" spans="2:13" x14ac:dyDescent="0.35">
      <c r="B1924" s="32"/>
      <c r="C1924" s="35"/>
      <c r="D1924" s="35"/>
      <c r="E1924" s="35"/>
      <c r="F1924" s="35"/>
      <c r="G1924" s="35"/>
      <c r="H1924" s="35"/>
      <c r="I1924" s="35"/>
      <c r="J1924" s="35"/>
      <c r="K1924" s="35"/>
      <c r="L1924" s="35"/>
      <c r="M1924" s="35"/>
    </row>
    <row r="1925" spans="2:13" x14ac:dyDescent="0.35">
      <c r="B1925" s="32"/>
      <c r="C1925" s="35"/>
      <c r="D1925" s="35"/>
      <c r="E1925" s="35"/>
      <c r="F1925" s="35"/>
      <c r="G1925" s="35"/>
      <c r="H1925" s="35"/>
      <c r="I1925" s="35"/>
      <c r="J1925" s="35"/>
      <c r="K1925" s="35"/>
      <c r="L1925" s="35"/>
      <c r="M1925" s="35"/>
    </row>
    <row r="1926" spans="2:13" x14ac:dyDescent="0.35">
      <c r="B1926" s="32"/>
      <c r="C1926" s="35"/>
      <c r="D1926" s="35"/>
      <c r="E1926" s="35"/>
      <c r="F1926" s="35"/>
      <c r="G1926" s="35"/>
      <c r="H1926" s="35"/>
      <c r="I1926" s="35"/>
      <c r="J1926" s="35"/>
      <c r="K1926" s="35"/>
      <c r="L1926" s="35"/>
      <c r="M1926" s="35"/>
    </row>
    <row r="1927" spans="2:13" x14ac:dyDescent="0.35">
      <c r="B1927" s="32"/>
      <c r="C1927" s="35"/>
      <c r="D1927" s="35"/>
      <c r="E1927" s="35"/>
      <c r="F1927" s="35"/>
      <c r="G1927" s="35"/>
      <c r="H1927" s="35"/>
      <c r="I1927" s="35"/>
      <c r="J1927" s="35"/>
      <c r="K1927" s="35"/>
      <c r="L1927" s="35"/>
      <c r="M1927" s="35"/>
    </row>
    <row r="1928" spans="2:13" x14ac:dyDescent="0.35">
      <c r="B1928" s="32"/>
      <c r="C1928" s="35"/>
      <c r="D1928" s="35"/>
      <c r="E1928" s="35"/>
      <c r="F1928" s="35"/>
      <c r="G1928" s="35"/>
      <c r="H1928" s="35"/>
      <c r="I1928" s="35"/>
      <c r="J1928" s="35"/>
      <c r="K1928" s="35"/>
      <c r="L1928" s="35"/>
      <c r="M1928" s="35"/>
    </row>
    <row r="1929" spans="2:13" x14ac:dyDescent="0.35">
      <c r="B1929" s="32"/>
      <c r="C1929" s="35"/>
      <c r="D1929" s="35"/>
      <c r="E1929" s="35"/>
      <c r="F1929" s="35"/>
      <c r="G1929" s="35"/>
      <c r="H1929" s="35"/>
      <c r="I1929" s="35"/>
      <c r="J1929" s="35"/>
      <c r="K1929" s="35"/>
      <c r="L1929" s="35"/>
      <c r="M1929" s="35"/>
    </row>
    <row r="1930" spans="2:13" x14ac:dyDescent="0.35">
      <c r="B1930" s="32"/>
      <c r="C1930" s="35"/>
      <c r="D1930" s="35"/>
      <c r="E1930" s="35"/>
      <c r="F1930" s="35"/>
      <c r="G1930" s="35"/>
      <c r="H1930" s="35"/>
      <c r="I1930" s="35"/>
      <c r="J1930" s="35"/>
      <c r="K1930" s="35"/>
      <c r="L1930" s="35"/>
      <c r="M1930" s="35"/>
    </row>
    <row r="1931" spans="2:13" x14ac:dyDescent="0.35">
      <c r="B1931" s="32"/>
      <c r="C1931" s="35"/>
      <c r="D1931" s="35"/>
      <c r="E1931" s="35"/>
      <c r="F1931" s="35"/>
      <c r="G1931" s="35"/>
      <c r="H1931" s="35"/>
      <c r="I1931" s="35"/>
      <c r="J1931" s="35"/>
      <c r="K1931" s="35"/>
      <c r="L1931" s="35"/>
      <c r="M1931" s="35"/>
    </row>
    <row r="1932" spans="2:13" x14ac:dyDescent="0.35">
      <c r="B1932" s="32"/>
      <c r="C1932" s="35"/>
      <c r="D1932" s="35"/>
      <c r="E1932" s="35"/>
      <c r="F1932" s="35"/>
      <c r="G1932" s="35"/>
      <c r="H1932" s="35"/>
      <c r="I1932" s="35"/>
      <c r="J1932" s="35"/>
      <c r="K1932" s="35"/>
      <c r="L1932" s="35"/>
      <c r="M1932" s="35"/>
    </row>
    <row r="1933" spans="2:13" x14ac:dyDescent="0.35">
      <c r="B1933" s="32"/>
      <c r="C1933" s="35"/>
      <c r="D1933" s="35"/>
      <c r="E1933" s="35"/>
      <c r="F1933" s="35"/>
      <c r="G1933" s="35"/>
      <c r="H1933" s="35"/>
      <c r="I1933" s="35"/>
      <c r="J1933" s="35"/>
      <c r="K1933" s="35"/>
      <c r="L1933" s="35"/>
      <c r="M1933" s="35"/>
    </row>
    <row r="1934" spans="2:13" x14ac:dyDescent="0.35">
      <c r="B1934" s="32"/>
      <c r="C1934" s="35"/>
      <c r="D1934" s="35"/>
      <c r="E1934" s="35"/>
      <c r="F1934" s="35"/>
      <c r="G1934" s="35"/>
      <c r="H1934" s="35"/>
      <c r="I1934" s="35"/>
      <c r="J1934" s="35"/>
      <c r="K1934" s="35"/>
      <c r="L1934" s="35"/>
      <c r="M1934" s="35"/>
    </row>
    <row r="1935" spans="2:13" x14ac:dyDescent="0.35">
      <c r="B1935" s="32"/>
      <c r="C1935" s="35"/>
      <c r="D1935" s="35"/>
      <c r="E1935" s="35"/>
      <c r="F1935" s="35"/>
      <c r="G1935" s="35"/>
      <c r="H1935" s="35"/>
      <c r="I1935" s="35"/>
      <c r="J1935" s="35"/>
      <c r="K1935" s="35"/>
      <c r="L1935" s="35"/>
      <c r="M1935" s="35"/>
    </row>
    <row r="1936" spans="2:13" x14ac:dyDescent="0.35">
      <c r="B1936" s="32"/>
      <c r="C1936" s="35"/>
      <c r="D1936" s="35"/>
      <c r="E1936" s="35"/>
      <c r="F1936" s="35"/>
      <c r="G1936" s="35"/>
      <c r="H1936" s="35"/>
      <c r="I1936" s="35"/>
      <c r="J1936" s="35"/>
      <c r="K1936" s="35"/>
      <c r="L1936" s="35"/>
      <c r="M1936" s="35"/>
    </row>
    <row r="1937" spans="2:13" x14ac:dyDescent="0.35">
      <c r="B1937" s="32"/>
      <c r="C1937" s="35"/>
      <c r="D1937" s="35"/>
      <c r="E1937" s="35"/>
      <c r="F1937" s="35"/>
      <c r="G1937" s="35"/>
      <c r="H1937" s="35"/>
      <c r="I1937" s="35"/>
      <c r="J1937" s="35"/>
      <c r="K1937" s="35"/>
      <c r="L1937" s="35"/>
      <c r="M1937" s="35"/>
    </row>
    <row r="1938" spans="2:13" x14ac:dyDescent="0.35">
      <c r="B1938" s="32"/>
      <c r="C1938" s="35"/>
      <c r="D1938" s="35"/>
      <c r="E1938" s="35"/>
      <c r="F1938" s="35"/>
      <c r="G1938" s="35"/>
      <c r="H1938" s="35"/>
      <c r="I1938" s="35"/>
      <c r="J1938" s="35"/>
      <c r="K1938" s="35"/>
      <c r="L1938" s="35"/>
      <c r="M1938" s="35"/>
    </row>
    <row r="1939" spans="2:13" x14ac:dyDescent="0.35">
      <c r="B1939" s="32"/>
      <c r="C1939" s="35"/>
      <c r="D1939" s="35"/>
      <c r="E1939" s="35"/>
      <c r="F1939" s="35"/>
      <c r="G1939" s="35"/>
      <c r="H1939" s="35"/>
      <c r="I1939" s="35"/>
      <c r="J1939" s="35"/>
      <c r="K1939" s="35"/>
      <c r="L1939" s="35"/>
      <c r="M1939" s="35"/>
    </row>
    <row r="1940" spans="2:13" x14ac:dyDescent="0.35">
      <c r="B1940" s="32"/>
      <c r="C1940" s="35"/>
      <c r="D1940" s="35"/>
      <c r="E1940" s="35"/>
      <c r="F1940" s="35"/>
      <c r="G1940" s="35"/>
      <c r="H1940" s="35"/>
      <c r="I1940" s="35"/>
      <c r="J1940" s="35"/>
      <c r="K1940" s="35"/>
      <c r="L1940" s="35"/>
      <c r="M1940" s="35"/>
    </row>
    <row r="1941" spans="2:13" x14ac:dyDescent="0.35">
      <c r="B1941" s="32"/>
      <c r="C1941" s="35"/>
      <c r="D1941" s="35"/>
      <c r="E1941" s="35"/>
      <c r="F1941" s="35"/>
      <c r="G1941" s="35"/>
      <c r="H1941" s="35"/>
      <c r="I1941" s="35"/>
      <c r="J1941" s="35"/>
      <c r="K1941" s="35"/>
      <c r="L1941" s="35"/>
      <c r="M1941" s="35"/>
    </row>
    <row r="1942" spans="2:13" x14ac:dyDescent="0.35">
      <c r="B1942" s="32"/>
      <c r="C1942" s="35"/>
      <c r="D1942" s="35"/>
      <c r="E1942" s="35"/>
      <c r="F1942" s="35"/>
      <c r="G1942" s="35"/>
      <c r="H1942" s="35"/>
      <c r="I1942" s="35"/>
      <c r="J1942" s="35"/>
      <c r="K1942" s="35"/>
      <c r="L1942" s="35"/>
      <c r="M1942" s="35"/>
    </row>
    <row r="1943" spans="2:13" x14ac:dyDescent="0.35">
      <c r="B1943" s="32"/>
      <c r="C1943" s="35"/>
      <c r="D1943" s="35"/>
      <c r="E1943" s="35"/>
      <c r="F1943" s="35"/>
      <c r="G1943" s="35"/>
      <c r="H1943" s="35"/>
      <c r="I1943" s="35"/>
      <c r="J1943" s="35"/>
      <c r="K1943" s="35"/>
      <c r="L1943" s="35"/>
      <c r="M1943" s="35"/>
    </row>
    <row r="1944" spans="2:13" x14ac:dyDescent="0.35">
      <c r="B1944" s="32"/>
      <c r="C1944" s="35"/>
      <c r="D1944" s="35"/>
      <c r="E1944" s="35"/>
      <c r="F1944" s="35"/>
      <c r="G1944" s="35"/>
      <c r="H1944" s="35"/>
      <c r="I1944" s="35"/>
      <c r="J1944" s="35"/>
      <c r="K1944" s="35"/>
      <c r="L1944" s="35"/>
      <c r="M1944" s="35"/>
    </row>
    <row r="1945" spans="2:13" x14ac:dyDescent="0.35">
      <c r="B1945" s="32"/>
      <c r="C1945" s="35"/>
      <c r="D1945" s="35"/>
      <c r="E1945" s="35"/>
      <c r="F1945" s="35"/>
      <c r="G1945" s="35"/>
      <c r="H1945" s="35"/>
      <c r="I1945" s="35"/>
      <c r="J1945" s="35"/>
      <c r="K1945" s="35"/>
      <c r="L1945" s="35"/>
      <c r="M1945" s="35"/>
    </row>
    <row r="1946" spans="2:13" x14ac:dyDescent="0.35">
      <c r="B1946" s="32"/>
      <c r="C1946" s="35"/>
      <c r="D1946" s="35"/>
      <c r="E1946" s="35"/>
      <c r="F1946" s="35"/>
      <c r="G1946" s="35"/>
      <c r="H1946" s="35"/>
      <c r="I1946" s="35"/>
      <c r="J1946" s="35"/>
      <c r="K1946" s="35"/>
      <c r="L1946" s="35"/>
      <c r="M1946" s="35"/>
    </row>
    <row r="1947" spans="2:13" x14ac:dyDescent="0.35">
      <c r="B1947" s="32"/>
      <c r="C1947" s="35"/>
      <c r="D1947" s="35"/>
      <c r="E1947" s="35"/>
      <c r="F1947" s="35"/>
      <c r="G1947" s="35"/>
      <c r="H1947" s="35"/>
      <c r="I1947" s="35"/>
      <c r="J1947" s="35"/>
      <c r="K1947" s="35"/>
      <c r="L1947" s="35"/>
      <c r="M1947" s="35"/>
    </row>
    <row r="1948" spans="2:13" x14ac:dyDescent="0.35">
      <c r="B1948" s="32"/>
      <c r="C1948" s="35"/>
      <c r="D1948" s="35"/>
      <c r="E1948" s="35"/>
      <c r="F1948" s="35"/>
      <c r="G1948" s="35"/>
      <c r="H1948" s="35"/>
      <c r="I1948" s="35"/>
      <c r="J1948" s="35"/>
      <c r="K1948" s="35"/>
      <c r="L1948" s="35"/>
      <c r="M1948" s="35"/>
    </row>
    <row r="1949" spans="2:13" x14ac:dyDescent="0.35">
      <c r="B1949" s="32"/>
      <c r="C1949" s="35"/>
      <c r="D1949" s="35"/>
      <c r="E1949" s="35"/>
      <c r="F1949" s="35"/>
      <c r="G1949" s="35"/>
      <c r="H1949" s="35"/>
      <c r="I1949" s="35"/>
      <c r="J1949" s="35"/>
      <c r="K1949" s="35"/>
      <c r="L1949" s="35"/>
      <c r="M1949" s="35"/>
    </row>
    <row r="1950" spans="2:13" x14ac:dyDescent="0.35">
      <c r="B1950" s="32"/>
      <c r="C1950" s="35"/>
      <c r="D1950" s="35"/>
      <c r="E1950" s="35"/>
      <c r="F1950" s="35"/>
      <c r="G1950" s="35"/>
      <c r="H1950" s="35"/>
      <c r="I1950" s="35"/>
      <c r="J1950" s="35"/>
      <c r="K1950" s="35"/>
      <c r="L1950" s="35"/>
      <c r="M1950" s="35"/>
    </row>
    <row r="1951" spans="2:13" x14ac:dyDescent="0.35">
      <c r="B1951" s="32"/>
      <c r="C1951" s="35"/>
      <c r="D1951" s="35"/>
      <c r="E1951" s="35"/>
      <c r="F1951" s="35"/>
      <c r="G1951" s="35"/>
      <c r="H1951" s="35"/>
      <c r="I1951" s="35"/>
      <c r="J1951" s="35"/>
      <c r="K1951" s="35"/>
      <c r="L1951" s="35"/>
      <c r="M1951" s="35"/>
    </row>
    <row r="1952" spans="2:13" x14ac:dyDescent="0.35">
      <c r="B1952" s="32"/>
      <c r="C1952" s="35"/>
      <c r="D1952" s="35"/>
      <c r="E1952" s="35"/>
      <c r="F1952" s="35"/>
      <c r="G1952" s="35"/>
      <c r="H1952" s="35"/>
      <c r="I1952" s="35"/>
      <c r="J1952" s="35"/>
      <c r="K1952" s="35"/>
      <c r="L1952" s="35"/>
      <c r="M1952" s="35"/>
    </row>
    <row r="1953" spans="2:13" x14ac:dyDescent="0.35">
      <c r="B1953" s="32"/>
      <c r="C1953" s="35"/>
      <c r="D1953" s="35"/>
      <c r="E1953" s="35"/>
      <c r="F1953" s="35"/>
      <c r="G1953" s="35"/>
      <c r="H1953" s="35"/>
      <c r="I1953" s="35"/>
      <c r="J1953" s="35"/>
      <c r="K1953" s="35"/>
      <c r="L1953" s="35"/>
      <c r="M1953" s="35"/>
    </row>
    <row r="1954" spans="2:13" x14ac:dyDescent="0.35">
      <c r="B1954" s="32"/>
      <c r="C1954" s="35"/>
      <c r="D1954" s="35"/>
      <c r="E1954" s="35"/>
      <c r="F1954" s="35"/>
      <c r="G1954" s="35"/>
      <c r="H1954" s="35"/>
      <c r="I1954" s="35"/>
      <c r="J1954" s="35"/>
      <c r="K1954" s="35"/>
      <c r="L1954" s="35"/>
      <c r="M1954" s="35"/>
    </row>
    <row r="1955" spans="2:13" x14ac:dyDescent="0.35">
      <c r="B1955" s="32"/>
      <c r="C1955" s="35"/>
      <c r="D1955" s="35"/>
      <c r="E1955" s="35"/>
      <c r="F1955" s="35"/>
      <c r="G1955" s="35"/>
      <c r="H1955" s="35"/>
      <c r="I1955" s="35"/>
      <c r="J1955" s="35"/>
      <c r="K1955" s="35"/>
      <c r="L1955" s="35"/>
      <c r="M1955" s="35"/>
    </row>
    <row r="1956" spans="2:13" x14ac:dyDescent="0.35">
      <c r="B1956" s="32"/>
      <c r="C1956" s="35"/>
      <c r="D1956" s="35"/>
      <c r="E1956" s="35"/>
      <c r="F1956" s="35"/>
      <c r="G1956" s="35"/>
      <c r="H1956" s="35"/>
      <c r="I1956" s="35"/>
      <c r="J1956" s="35"/>
      <c r="K1956" s="35"/>
      <c r="L1956" s="35"/>
      <c r="M1956" s="35"/>
    </row>
    <row r="1957" spans="2:13" x14ac:dyDescent="0.35">
      <c r="B1957" s="32"/>
      <c r="C1957" s="35"/>
      <c r="D1957" s="35"/>
      <c r="E1957" s="35"/>
      <c r="F1957" s="35"/>
      <c r="G1957" s="35"/>
      <c r="H1957" s="35"/>
      <c r="I1957" s="35"/>
      <c r="J1957" s="35"/>
      <c r="K1957" s="35"/>
      <c r="L1957" s="35"/>
      <c r="M1957" s="35"/>
    </row>
    <row r="1958" spans="2:13" x14ac:dyDescent="0.35">
      <c r="B1958" s="32"/>
      <c r="C1958" s="35"/>
      <c r="D1958" s="35"/>
      <c r="E1958" s="35"/>
      <c r="F1958" s="35"/>
      <c r="G1958" s="35"/>
      <c r="H1958" s="35"/>
      <c r="I1958" s="35"/>
      <c r="J1958" s="35"/>
      <c r="K1958" s="35"/>
      <c r="L1958" s="35"/>
      <c r="M1958" s="35"/>
    </row>
    <row r="1959" spans="2:13" x14ac:dyDescent="0.35">
      <c r="B1959" s="32"/>
      <c r="C1959" s="35"/>
      <c r="D1959" s="35"/>
      <c r="E1959" s="35"/>
      <c r="F1959" s="35"/>
      <c r="G1959" s="35"/>
      <c r="H1959" s="35"/>
      <c r="I1959" s="35"/>
      <c r="J1959" s="35"/>
      <c r="K1959" s="35"/>
      <c r="L1959" s="35"/>
      <c r="M1959" s="35"/>
    </row>
    <row r="1960" spans="2:13" x14ac:dyDescent="0.35">
      <c r="B1960" s="32"/>
      <c r="C1960" s="35"/>
      <c r="D1960" s="35"/>
      <c r="E1960" s="35"/>
      <c r="F1960" s="35"/>
      <c r="G1960" s="35"/>
      <c r="H1960" s="35"/>
      <c r="I1960" s="35"/>
      <c r="J1960" s="35"/>
      <c r="K1960" s="35"/>
      <c r="L1960" s="35"/>
      <c r="M1960" s="35"/>
    </row>
    <row r="1961" spans="2:13" x14ac:dyDescent="0.35">
      <c r="B1961" s="32"/>
      <c r="C1961" s="35"/>
      <c r="D1961" s="35"/>
      <c r="E1961" s="35"/>
      <c r="F1961" s="35"/>
      <c r="G1961" s="35"/>
      <c r="H1961" s="35"/>
      <c r="I1961" s="35"/>
      <c r="J1961" s="35"/>
      <c r="K1961" s="35"/>
      <c r="L1961" s="35"/>
      <c r="M1961" s="35"/>
    </row>
    <row r="1962" spans="2:13" x14ac:dyDescent="0.35">
      <c r="B1962" s="32"/>
      <c r="C1962" s="35"/>
      <c r="D1962" s="35"/>
      <c r="E1962" s="35"/>
      <c r="F1962" s="35"/>
      <c r="G1962" s="35"/>
      <c r="H1962" s="35"/>
      <c r="I1962" s="35"/>
      <c r="J1962" s="35"/>
      <c r="K1962" s="35"/>
      <c r="L1962" s="35"/>
      <c r="M1962" s="35"/>
    </row>
    <row r="1963" spans="2:13" x14ac:dyDescent="0.35">
      <c r="B1963" s="32"/>
      <c r="C1963" s="35"/>
      <c r="D1963" s="35"/>
      <c r="E1963" s="35"/>
      <c r="F1963" s="35"/>
      <c r="G1963" s="35"/>
      <c r="H1963" s="35"/>
      <c r="I1963" s="35"/>
      <c r="J1963" s="35"/>
      <c r="K1963" s="35"/>
      <c r="L1963" s="35"/>
      <c r="M1963" s="35"/>
    </row>
    <row r="1964" spans="2:13" x14ac:dyDescent="0.35">
      <c r="B1964" s="32"/>
      <c r="C1964" s="35"/>
      <c r="D1964" s="35"/>
      <c r="E1964" s="35"/>
      <c r="F1964" s="35"/>
      <c r="G1964" s="35"/>
      <c r="H1964" s="35"/>
      <c r="I1964" s="35"/>
      <c r="J1964" s="35"/>
      <c r="K1964" s="35"/>
      <c r="L1964" s="35"/>
      <c r="M1964" s="35"/>
    </row>
    <row r="1965" spans="2:13" x14ac:dyDescent="0.35">
      <c r="B1965" s="32"/>
      <c r="C1965" s="35"/>
      <c r="D1965" s="35"/>
      <c r="E1965" s="35"/>
      <c r="F1965" s="35"/>
      <c r="G1965" s="35"/>
      <c r="H1965" s="35"/>
      <c r="I1965" s="35"/>
      <c r="J1965" s="35"/>
      <c r="K1965" s="35"/>
      <c r="L1965" s="35"/>
      <c r="M1965" s="35"/>
    </row>
    <row r="1966" spans="2:13" x14ac:dyDescent="0.35">
      <c r="B1966" s="32"/>
      <c r="C1966" s="35"/>
      <c r="D1966" s="35"/>
      <c r="E1966" s="35"/>
      <c r="F1966" s="35"/>
      <c r="G1966" s="35"/>
      <c r="H1966" s="35"/>
      <c r="I1966" s="35"/>
      <c r="J1966" s="35"/>
      <c r="K1966" s="35"/>
      <c r="L1966" s="35"/>
      <c r="M1966" s="35"/>
    </row>
    <row r="1967" spans="2:13" x14ac:dyDescent="0.35">
      <c r="B1967" s="32"/>
      <c r="C1967" s="35"/>
      <c r="D1967" s="35"/>
      <c r="E1967" s="35"/>
      <c r="F1967" s="35"/>
      <c r="G1967" s="35"/>
      <c r="H1967" s="35"/>
      <c r="I1967" s="35"/>
      <c r="J1967" s="35"/>
      <c r="K1967" s="35"/>
      <c r="L1967" s="35"/>
      <c r="M1967" s="35"/>
    </row>
    <row r="1968" spans="2:13" x14ac:dyDescent="0.35">
      <c r="B1968" s="32"/>
      <c r="C1968" s="35"/>
      <c r="D1968" s="35"/>
      <c r="E1968" s="35"/>
      <c r="F1968" s="35"/>
      <c r="G1968" s="35"/>
      <c r="H1968" s="35"/>
      <c r="I1968" s="35"/>
      <c r="J1968" s="35"/>
      <c r="K1968" s="35"/>
      <c r="L1968" s="35"/>
      <c r="M1968" s="35"/>
    </row>
    <row r="1969" spans="2:13" x14ac:dyDescent="0.35">
      <c r="B1969" s="32"/>
      <c r="C1969" s="35"/>
      <c r="D1969" s="35"/>
      <c r="E1969" s="35"/>
      <c r="F1969" s="35"/>
      <c r="G1969" s="35"/>
      <c r="H1969" s="35"/>
      <c r="I1969" s="35"/>
      <c r="J1969" s="35"/>
      <c r="K1969" s="35"/>
      <c r="L1969" s="35"/>
      <c r="M1969" s="35"/>
    </row>
    <row r="1970" spans="2:13" x14ac:dyDescent="0.35">
      <c r="B1970" s="32"/>
      <c r="C1970" s="35"/>
      <c r="D1970" s="35"/>
      <c r="E1970" s="35"/>
      <c r="F1970" s="35"/>
      <c r="G1970" s="35"/>
      <c r="H1970" s="35"/>
      <c r="I1970" s="35"/>
      <c r="J1970" s="35"/>
      <c r="K1970" s="35"/>
      <c r="L1970" s="35"/>
      <c r="M1970" s="35"/>
    </row>
    <row r="1971" spans="2:13" x14ac:dyDescent="0.35">
      <c r="B1971" s="32"/>
      <c r="C1971" s="35"/>
      <c r="D1971" s="35"/>
      <c r="E1971" s="35"/>
      <c r="F1971" s="35"/>
      <c r="G1971" s="35"/>
      <c r="H1971" s="35"/>
      <c r="I1971" s="35"/>
      <c r="J1971" s="35"/>
      <c r="K1971" s="35"/>
      <c r="L1971" s="35"/>
      <c r="M1971" s="35"/>
    </row>
    <row r="1972" spans="2:13" x14ac:dyDescent="0.35">
      <c r="B1972" s="32"/>
      <c r="C1972" s="35"/>
      <c r="D1972" s="35"/>
      <c r="E1972" s="35"/>
      <c r="F1972" s="35"/>
      <c r="G1972" s="35"/>
      <c r="H1972" s="35"/>
      <c r="I1972" s="35"/>
      <c r="J1972" s="35"/>
      <c r="K1972" s="35"/>
      <c r="L1972" s="35"/>
      <c r="M1972" s="35"/>
    </row>
    <row r="1973" spans="2:13" x14ac:dyDescent="0.35">
      <c r="B1973" s="32"/>
      <c r="C1973" s="35"/>
      <c r="D1973" s="35"/>
      <c r="E1973" s="35"/>
      <c r="F1973" s="35"/>
      <c r="G1973" s="35"/>
      <c r="H1973" s="35"/>
      <c r="I1973" s="35"/>
      <c r="J1973" s="35"/>
      <c r="K1973" s="35"/>
      <c r="L1973" s="35"/>
      <c r="M1973" s="35"/>
    </row>
    <row r="1974" spans="2:13" x14ac:dyDescent="0.35">
      <c r="B1974" s="32"/>
      <c r="C1974" s="35"/>
      <c r="D1974" s="35"/>
      <c r="E1974" s="35"/>
      <c r="F1974" s="35"/>
      <c r="G1974" s="35"/>
      <c r="H1974" s="35"/>
      <c r="I1974" s="35"/>
      <c r="J1974" s="35"/>
      <c r="K1974" s="35"/>
      <c r="L1974" s="35"/>
      <c r="M1974" s="35"/>
    </row>
    <row r="1975" spans="2:13" x14ac:dyDescent="0.35">
      <c r="B1975" s="32"/>
      <c r="C1975" s="35"/>
      <c r="D1975" s="35"/>
      <c r="E1975" s="35"/>
      <c r="F1975" s="35"/>
      <c r="G1975" s="35"/>
      <c r="H1975" s="35"/>
      <c r="I1975" s="35"/>
      <c r="J1975" s="35"/>
      <c r="K1975" s="35"/>
      <c r="L1975" s="35"/>
      <c r="M1975" s="35"/>
    </row>
    <row r="1976" spans="2:13" x14ac:dyDescent="0.35">
      <c r="B1976" s="32"/>
      <c r="C1976" s="35"/>
      <c r="D1976" s="35"/>
      <c r="E1976" s="35"/>
      <c r="F1976" s="35"/>
      <c r="G1976" s="35"/>
      <c r="H1976" s="35"/>
      <c r="I1976" s="35"/>
      <c r="J1976" s="35"/>
      <c r="K1976" s="35"/>
      <c r="L1976" s="35"/>
      <c r="M1976" s="35"/>
    </row>
    <row r="1977" spans="2:13" x14ac:dyDescent="0.35">
      <c r="B1977" s="32"/>
      <c r="C1977" s="35"/>
      <c r="D1977" s="35"/>
      <c r="E1977" s="35"/>
      <c r="F1977" s="35"/>
      <c r="G1977" s="35"/>
      <c r="H1977" s="35"/>
      <c r="I1977" s="35"/>
      <c r="J1977" s="35"/>
      <c r="K1977" s="35"/>
      <c r="L1977" s="35"/>
      <c r="M1977" s="35"/>
    </row>
    <row r="1978" spans="2:13" x14ac:dyDescent="0.35">
      <c r="B1978" s="32"/>
      <c r="C1978" s="35"/>
      <c r="D1978" s="35"/>
      <c r="E1978" s="35"/>
      <c r="F1978" s="35"/>
      <c r="G1978" s="35"/>
      <c r="H1978" s="35"/>
      <c r="I1978" s="35"/>
      <c r="J1978" s="35"/>
      <c r="K1978" s="35"/>
      <c r="L1978" s="35"/>
      <c r="M1978" s="35"/>
    </row>
    <row r="1979" spans="2:13" x14ac:dyDescent="0.35">
      <c r="B1979" s="32"/>
      <c r="C1979" s="35"/>
      <c r="D1979" s="35"/>
      <c r="E1979" s="35"/>
      <c r="F1979" s="35"/>
      <c r="G1979" s="35"/>
      <c r="H1979" s="35"/>
      <c r="I1979" s="35"/>
      <c r="J1979" s="35"/>
      <c r="K1979" s="35"/>
      <c r="L1979" s="35"/>
      <c r="M1979" s="35"/>
    </row>
    <row r="1980" spans="2:13" x14ac:dyDescent="0.35">
      <c r="B1980" s="32"/>
      <c r="C1980" s="35"/>
      <c r="D1980" s="35"/>
      <c r="E1980" s="35"/>
      <c r="F1980" s="35"/>
      <c r="G1980" s="35"/>
      <c r="H1980" s="35"/>
      <c r="I1980" s="35"/>
      <c r="J1980" s="35"/>
      <c r="K1980" s="35"/>
      <c r="L1980" s="35"/>
      <c r="M1980" s="35"/>
    </row>
    <row r="1981" spans="2:13" x14ac:dyDescent="0.35">
      <c r="B1981" s="32"/>
      <c r="C1981" s="35"/>
      <c r="D1981" s="35"/>
      <c r="E1981" s="35"/>
      <c r="F1981" s="35"/>
      <c r="G1981" s="35"/>
      <c r="H1981" s="35"/>
      <c r="I1981" s="35"/>
      <c r="J1981" s="35"/>
      <c r="K1981" s="35"/>
      <c r="L1981" s="35"/>
      <c r="M1981" s="35"/>
    </row>
    <row r="1982" spans="2:13" x14ac:dyDescent="0.35">
      <c r="B1982" s="32"/>
      <c r="C1982" s="35"/>
      <c r="D1982" s="35"/>
      <c r="E1982" s="35"/>
      <c r="F1982" s="35"/>
      <c r="G1982" s="35"/>
      <c r="H1982" s="35"/>
      <c r="I1982" s="35"/>
      <c r="J1982" s="35"/>
      <c r="K1982" s="35"/>
      <c r="L1982" s="35"/>
      <c r="M1982" s="35"/>
    </row>
    <row r="1983" spans="2:13" x14ac:dyDescent="0.35">
      <c r="B1983" s="32"/>
      <c r="C1983" s="35"/>
      <c r="D1983" s="35"/>
      <c r="E1983" s="35"/>
      <c r="F1983" s="35"/>
      <c r="G1983" s="35"/>
      <c r="H1983" s="35"/>
      <c r="I1983" s="35"/>
      <c r="J1983" s="35"/>
      <c r="K1983" s="35"/>
      <c r="L1983" s="35"/>
      <c r="M1983" s="35"/>
    </row>
    <row r="1984" spans="2:13" x14ac:dyDescent="0.35">
      <c r="B1984" s="32"/>
      <c r="C1984" s="35"/>
      <c r="D1984" s="35"/>
      <c r="E1984" s="35"/>
      <c r="F1984" s="35"/>
      <c r="G1984" s="35"/>
      <c r="H1984" s="35"/>
      <c r="I1984" s="35"/>
      <c r="J1984" s="35"/>
      <c r="K1984" s="35"/>
      <c r="L1984" s="35"/>
      <c r="M1984" s="35"/>
    </row>
    <row r="1985" spans="2:13" x14ac:dyDescent="0.35">
      <c r="B1985" s="32"/>
      <c r="C1985" s="35"/>
      <c r="D1985" s="35"/>
      <c r="E1985" s="35"/>
      <c r="F1985" s="35"/>
      <c r="G1985" s="35"/>
      <c r="H1985" s="35"/>
      <c r="I1985" s="35"/>
      <c r="J1985" s="35"/>
      <c r="K1985" s="35"/>
      <c r="L1985" s="35"/>
      <c r="M1985" s="35"/>
    </row>
    <row r="1986" spans="2:13" x14ac:dyDescent="0.35">
      <c r="B1986" s="32"/>
      <c r="C1986" s="35"/>
      <c r="D1986" s="35"/>
      <c r="E1986" s="35"/>
      <c r="F1986" s="35"/>
      <c r="G1986" s="35"/>
      <c r="H1986" s="35"/>
      <c r="I1986" s="35"/>
      <c r="J1986" s="35"/>
      <c r="K1986" s="35"/>
      <c r="L1986" s="35"/>
      <c r="M1986" s="35"/>
    </row>
    <row r="1987" spans="2:13" x14ac:dyDescent="0.35">
      <c r="B1987" s="32"/>
      <c r="C1987" s="35"/>
      <c r="D1987" s="35"/>
      <c r="E1987" s="35"/>
      <c r="F1987" s="35"/>
      <c r="G1987" s="35"/>
      <c r="H1987" s="35"/>
      <c r="I1987" s="35"/>
      <c r="J1987" s="35"/>
      <c r="K1987" s="35"/>
      <c r="L1987" s="35"/>
      <c r="M1987" s="35"/>
    </row>
    <row r="1988" spans="2:13" x14ac:dyDescent="0.35">
      <c r="B1988" s="32"/>
      <c r="C1988" s="35"/>
      <c r="D1988" s="35"/>
      <c r="E1988" s="35"/>
      <c r="F1988" s="35"/>
      <c r="G1988" s="35"/>
      <c r="H1988" s="35"/>
      <c r="I1988" s="35"/>
      <c r="J1988" s="35"/>
      <c r="K1988" s="35"/>
      <c r="L1988" s="35"/>
      <c r="M1988" s="35"/>
    </row>
    <row r="1989" spans="2:13" x14ac:dyDescent="0.35">
      <c r="B1989" s="32"/>
      <c r="C1989" s="35"/>
      <c r="D1989" s="35"/>
      <c r="E1989" s="35"/>
      <c r="F1989" s="35"/>
      <c r="G1989" s="35"/>
      <c r="H1989" s="35"/>
      <c r="I1989" s="35"/>
      <c r="J1989" s="35"/>
      <c r="K1989" s="35"/>
      <c r="L1989" s="35"/>
      <c r="M1989" s="35"/>
    </row>
    <row r="1990" spans="2:13" x14ac:dyDescent="0.35">
      <c r="B1990" s="32"/>
      <c r="C1990" s="35"/>
      <c r="D1990" s="35"/>
      <c r="E1990" s="35"/>
      <c r="F1990" s="35"/>
      <c r="G1990" s="35"/>
      <c r="H1990" s="35"/>
      <c r="I1990" s="35"/>
      <c r="J1990" s="35"/>
      <c r="K1990" s="35"/>
      <c r="L1990" s="35"/>
      <c r="M1990" s="35"/>
    </row>
    <row r="1991" spans="2:13" x14ac:dyDescent="0.35">
      <c r="B1991" s="32"/>
      <c r="C1991" s="35"/>
      <c r="D1991" s="35"/>
      <c r="E1991" s="35"/>
      <c r="F1991" s="35"/>
      <c r="G1991" s="35"/>
      <c r="H1991" s="35"/>
      <c r="I1991" s="35"/>
      <c r="J1991" s="35"/>
      <c r="K1991" s="35"/>
      <c r="L1991" s="35"/>
      <c r="M1991" s="35"/>
    </row>
    <row r="1992" spans="2:13" x14ac:dyDescent="0.35">
      <c r="B1992" s="32"/>
      <c r="C1992" s="35"/>
      <c r="D1992" s="35"/>
      <c r="E1992" s="35"/>
      <c r="F1992" s="35"/>
      <c r="G1992" s="35"/>
      <c r="H1992" s="35"/>
      <c r="I1992" s="35"/>
      <c r="J1992" s="35"/>
      <c r="K1992" s="35"/>
      <c r="L1992" s="35"/>
      <c r="M1992" s="35"/>
    </row>
    <row r="1993" spans="2:13" x14ac:dyDescent="0.35">
      <c r="B1993" s="32"/>
      <c r="C1993" s="35"/>
      <c r="D1993" s="35"/>
      <c r="E1993" s="35"/>
      <c r="F1993" s="35"/>
      <c r="G1993" s="35"/>
      <c r="H1993" s="35"/>
      <c r="I1993" s="35"/>
      <c r="J1993" s="35"/>
      <c r="K1993" s="35"/>
      <c r="L1993" s="35"/>
      <c r="M1993" s="35"/>
    </row>
    <row r="1994" spans="2:13" x14ac:dyDescent="0.35">
      <c r="B1994" s="32"/>
      <c r="C1994" s="35"/>
      <c r="D1994" s="35"/>
      <c r="E1994" s="35"/>
      <c r="F1994" s="35"/>
      <c r="G1994" s="35"/>
      <c r="H1994" s="35"/>
      <c r="I1994" s="35"/>
      <c r="J1994" s="35"/>
      <c r="K1994" s="35"/>
      <c r="L1994" s="35"/>
      <c r="M1994" s="35"/>
    </row>
    <row r="1995" spans="2:13" x14ac:dyDescent="0.35">
      <c r="B1995" s="32"/>
      <c r="C1995" s="35"/>
      <c r="D1995" s="35"/>
      <c r="E1995" s="35"/>
      <c r="F1995" s="35"/>
      <c r="G1995" s="35"/>
      <c r="H1995" s="35"/>
      <c r="I1995" s="35"/>
      <c r="J1995" s="35"/>
      <c r="K1995" s="35"/>
      <c r="L1995" s="35"/>
      <c r="M1995" s="35"/>
    </row>
    <row r="1996" spans="2:13" x14ac:dyDescent="0.35">
      <c r="B1996" s="32"/>
      <c r="C1996" s="35"/>
      <c r="D1996" s="35"/>
      <c r="E1996" s="35"/>
      <c r="F1996" s="35"/>
      <c r="G1996" s="35"/>
      <c r="H1996" s="35"/>
      <c r="I1996" s="35"/>
      <c r="J1996" s="35"/>
      <c r="K1996" s="35"/>
      <c r="L1996" s="35"/>
      <c r="M1996" s="35"/>
    </row>
    <row r="1997" spans="2:13" x14ac:dyDescent="0.35">
      <c r="B1997" s="32"/>
      <c r="C1997" s="35"/>
      <c r="D1997" s="35"/>
      <c r="E1997" s="35"/>
      <c r="F1997" s="35"/>
      <c r="G1997" s="35"/>
      <c r="H1997" s="35"/>
      <c r="I1997" s="35"/>
      <c r="J1997" s="35"/>
      <c r="K1997" s="35"/>
      <c r="L1997" s="35"/>
      <c r="M1997" s="35"/>
    </row>
    <row r="1998" spans="2:13" x14ac:dyDescent="0.35">
      <c r="B1998" s="32"/>
      <c r="C1998" s="35"/>
      <c r="D1998" s="35"/>
      <c r="E1998" s="35"/>
      <c r="F1998" s="35"/>
      <c r="G1998" s="35"/>
      <c r="H1998" s="35"/>
      <c r="I1998" s="35"/>
      <c r="J1998" s="35"/>
      <c r="K1998" s="35"/>
      <c r="L1998" s="35"/>
      <c r="M1998" s="35"/>
    </row>
    <row r="1999" spans="2:13" x14ac:dyDescent="0.35">
      <c r="B1999" s="32"/>
      <c r="C1999" s="35"/>
      <c r="D1999" s="35"/>
      <c r="E1999" s="35"/>
      <c r="F1999" s="35"/>
      <c r="G1999" s="35"/>
      <c r="H1999" s="35"/>
      <c r="I1999" s="35"/>
      <c r="J1999" s="35"/>
      <c r="K1999" s="35"/>
      <c r="L1999" s="35"/>
      <c r="M1999" s="35"/>
    </row>
    <row r="2000" spans="2:13" x14ac:dyDescent="0.35">
      <c r="B2000" s="32"/>
      <c r="C2000" s="35"/>
      <c r="D2000" s="35"/>
      <c r="E2000" s="35"/>
      <c r="F2000" s="35"/>
      <c r="G2000" s="35"/>
      <c r="H2000" s="35"/>
      <c r="I2000" s="35"/>
      <c r="J2000" s="35"/>
      <c r="K2000" s="35"/>
      <c r="L2000" s="35"/>
      <c r="M2000" s="35"/>
    </row>
    <row r="2001" spans="2:13" x14ac:dyDescent="0.35">
      <c r="B2001" s="32"/>
      <c r="C2001" s="35"/>
      <c r="D2001" s="35"/>
      <c r="E2001" s="35"/>
      <c r="F2001" s="35"/>
      <c r="G2001" s="35"/>
      <c r="H2001" s="35"/>
      <c r="I2001" s="35"/>
      <c r="J2001" s="35"/>
      <c r="K2001" s="35"/>
      <c r="L2001" s="35"/>
      <c r="M2001" s="35"/>
    </row>
    <row r="2002" spans="2:13" x14ac:dyDescent="0.35">
      <c r="B2002" s="32"/>
      <c r="C2002" s="35"/>
      <c r="D2002" s="35"/>
      <c r="E2002" s="35"/>
      <c r="F2002" s="35"/>
      <c r="G2002" s="35"/>
      <c r="H2002" s="35"/>
      <c r="I2002" s="35"/>
      <c r="J2002" s="35"/>
      <c r="K2002" s="35"/>
      <c r="L2002" s="35"/>
      <c r="M2002" s="35"/>
    </row>
    <row r="2003" spans="2:13" x14ac:dyDescent="0.35">
      <c r="B2003" s="32"/>
      <c r="C2003" s="35"/>
      <c r="D2003" s="35"/>
      <c r="E2003" s="35"/>
      <c r="F2003" s="35"/>
      <c r="G2003" s="35"/>
      <c r="H2003" s="35"/>
      <c r="I2003" s="35"/>
      <c r="J2003" s="35"/>
      <c r="K2003" s="35"/>
      <c r="L2003" s="35"/>
      <c r="M2003" s="35"/>
    </row>
    <row r="2004" spans="2:13" x14ac:dyDescent="0.35">
      <c r="B2004" s="32"/>
      <c r="C2004" s="35"/>
      <c r="D2004" s="35"/>
      <c r="E2004" s="35"/>
      <c r="F2004" s="35"/>
      <c r="G2004" s="35"/>
      <c r="H2004" s="35"/>
      <c r="I2004" s="35"/>
      <c r="J2004" s="35"/>
      <c r="K2004" s="35"/>
      <c r="L2004" s="35"/>
      <c r="M2004" s="35"/>
    </row>
    <row r="2005" spans="2:13" x14ac:dyDescent="0.35">
      <c r="B2005" s="32"/>
      <c r="C2005" s="35"/>
      <c r="D2005" s="35"/>
      <c r="E2005" s="35"/>
      <c r="F2005" s="35"/>
      <c r="G2005" s="35"/>
      <c r="H2005" s="35"/>
      <c r="I2005" s="35"/>
      <c r="J2005" s="35"/>
      <c r="K2005" s="35"/>
      <c r="L2005" s="35"/>
      <c r="M2005" s="35"/>
    </row>
    <row r="2006" spans="2:13" x14ac:dyDescent="0.35">
      <c r="B2006" s="32"/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35"/>
    </row>
    <row r="2007" spans="2:13" x14ac:dyDescent="0.35">
      <c r="B2007" s="32"/>
      <c r="C2007" s="35"/>
      <c r="D2007" s="35"/>
      <c r="E2007" s="35"/>
      <c r="F2007" s="35"/>
      <c r="G2007" s="35"/>
      <c r="H2007" s="35"/>
      <c r="I2007" s="35"/>
      <c r="J2007" s="35"/>
      <c r="K2007" s="35"/>
      <c r="L2007" s="35"/>
      <c r="M2007" s="35"/>
    </row>
    <row r="2008" spans="2:13" x14ac:dyDescent="0.35">
      <c r="B2008" s="32"/>
      <c r="C2008" s="35"/>
      <c r="D2008" s="35"/>
      <c r="E2008" s="35"/>
      <c r="F2008" s="35"/>
      <c r="G2008" s="35"/>
      <c r="H2008" s="35"/>
      <c r="I2008" s="35"/>
      <c r="J2008" s="35"/>
      <c r="K2008" s="35"/>
      <c r="L2008" s="35"/>
      <c r="M2008" s="35"/>
    </row>
    <row r="2009" spans="2:13" x14ac:dyDescent="0.35">
      <c r="B2009" s="32"/>
      <c r="C2009" s="35"/>
      <c r="D2009" s="35"/>
      <c r="E2009" s="35"/>
      <c r="F2009" s="35"/>
      <c r="G2009" s="35"/>
      <c r="H2009" s="35"/>
      <c r="I2009" s="35"/>
      <c r="J2009" s="35"/>
      <c r="K2009" s="35"/>
      <c r="L2009" s="35"/>
      <c r="M2009" s="35"/>
    </row>
    <row r="2010" spans="2:13" x14ac:dyDescent="0.35">
      <c r="B2010" s="32"/>
      <c r="C2010" s="35"/>
      <c r="D2010" s="35"/>
      <c r="E2010" s="35"/>
      <c r="F2010" s="35"/>
      <c r="G2010" s="35"/>
      <c r="H2010" s="35"/>
      <c r="I2010" s="35"/>
      <c r="J2010" s="35"/>
      <c r="K2010" s="35"/>
      <c r="L2010" s="35"/>
      <c r="M2010" s="35"/>
    </row>
    <row r="2011" spans="2:13" x14ac:dyDescent="0.35">
      <c r="B2011" s="32"/>
      <c r="C2011" s="35"/>
      <c r="D2011" s="35"/>
      <c r="E2011" s="35"/>
      <c r="F2011" s="35"/>
      <c r="G2011" s="35"/>
      <c r="H2011" s="35"/>
      <c r="I2011" s="35"/>
      <c r="J2011" s="35"/>
      <c r="K2011" s="35"/>
      <c r="L2011" s="35"/>
      <c r="M2011" s="35"/>
    </row>
    <row r="2012" spans="2:13" x14ac:dyDescent="0.35">
      <c r="B2012" s="32"/>
      <c r="C2012" s="35"/>
      <c r="D2012" s="35"/>
      <c r="E2012" s="35"/>
      <c r="F2012" s="35"/>
      <c r="G2012" s="35"/>
      <c r="H2012" s="35"/>
      <c r="I2012" s="35"/>
      <c r="J2012" s="35"/>
      <c r="K2012" s="35"/>
      <c r="L2012" s="35"/>
      <c r="M2012" s="35"/>
    </row>
    <row r="2013" spans="2:13" x14ac:dyDescent="0.35">
      <c r="B2013" s="32"/>
      <c r="C2013" s="35"/>
      <c r="D2013" s="35"/>
      <c r="E2013" s="35"/>
      <c r="F2013" s="35"/>
      <c r="G2013" s="35"/>
      <c r="H2013" s="35"/>
      <c r="I2013" s="35"/>
      <c r="J2013" s="35"/>
      <c r="K2013" s="35"/>
      <c r="L2013" s="35"/>
      <c r="M2013" s="35"/>
    </row>
    <row r="2014" spans="2:13" x14ac:dyDescent="0.35">
      <c r="B2014" s="32"/>
      <c r="C2014" s="35"/>
      <c r="D2014" s="35"/>
      <c r="E2014" s="35"/>
      <c r="F2014" s="35"/>
      <c r="G2014" s="35"/>
      <c r="H2014" s="35"/>
      <c r="I2014" s="35"/>
      <c r="J2014" s="35"/>
      <c r="K2014" s="35"/>
      <c r="L2014" s="35"/>
      <c r="M2014" s="35"/>
    </row>
    <row r="2015" spans="2:13" x14ac:dyDescent="0.35">
      <c r="B2015" s="32"/>
      <c r="C2015" s="35"/>
      <c r="D2015" s="35"/>
      <c r="E2015" s="35"/>
      <c r="F2015" s="35"/>
      <c r="G2015" s="35"/>
      <c r="H2015" s="35"/>
      <c r="I2015" s="35"/>
      <c r="J2015" s="35"/>
      <c r="K2015" s="35"/>
      <c r="L2015" s="35"/>
      <c r="M2015" s="35"/>
    </row>
    <row r="2016" spans="2:13" x14ac:dyDescent="0.35">
      <c r="B2016" s="32"/>
      <c r="C2016" s="35"/>
      <c r="D2016" s="35"/>
      <c r="E2016" s="35"/>
      <c r="F2016" s="35"/>
      <c r="G2016" s="35"/>
      <c r="H2016" s="35"/>
      <c r="I2016" s="35"/>
      <c r="J2016" s="35"/>
      <c r="K2016" s="35"/>
      <c r="L2016" s="35"/>
      <c r="M2016" s="35"/>
    </row>
    <row r="2017" spans="2:13" x14ac:dyDescent="0.35">
      <c r="B2017" s="32"/>
      <c r="C2017" s="35"/>
      <c r="D2017" s="35"/>
      <c r="E2017" s="35"/>
      <c r="F2017" s="35"/>
      <c r="G2017" s="35"/>
      <c r="H2017" s="35"/>
      <c r="I2017" s="35"/>
      <c r="J2017" s="35"/>
      <c r="K2017" s="35"/>
      <c r="L2017" s="35"/>
      <c r="M2017" s="35"/>
    </row>
    <row r="2018" spans="2:13" x14ac:dyDescent="0.35">
      <c r="B2018" s="32"/>
      <c r="C2018" s="35"/>
      <c r="D2018" s="35"/>
      <c r="E2018" s="35"/>
      <c r="F2018" s="35"/>
      <c r="G2018" s="35"/>
      <c r="H2018" s="35"/>
      <c r="I2018" s="35"/>
      <c r="J2018" s="35"/>
      <c r="K2018" s="35"/>
      <c r="L2018" s="35"/>
      <c r="M2018" s="35"/>
    </row>
    <row r="2019" spans="2:13" x14ac:dyDescent="0.35">
      <c r="B2019" s="32"/>
      <c r="C2019" s="35"/>
      <c r="D2019" s="35"/>
      <c r="E2019" s="35"/>
      <c r="F2019" s="35"/>
      <c r="G2019" s="35"/>
      <c r="H2019" s="35"/>
      <c r="I2019" s="35"/>
      <c r="J2019" s="35"/>
      <c r="K2019" s="35"/>
      <c r="L2019" s="35"/>
      <c r="M2019" s="35"/>
    </row>
    <row r="2020" spans="2:13" x14ac:dyDescent="0.35">
      <c r="B2020" s="32"/>
      <c r="C2020" s="35"/>
      <c r="D2020" s="35"/>
      <c r="E2020" s="35"/>
      <c r="F2020" s="35"/>
      <c r="G2020" s="35"/>
      <c r="H2020" s="35"/>
      <c r="I2020" s="35"/>
      <c r="J2020" s="35"/>
      <c r="K2020" s="35"/>
      <c r="L2020" s="35"/>
      <c r="M2020" s="35"/>
    </row>
    <row r="2021" spans="2:13" x14ac:dyDescent="0.35">
      <c r="B2021" s="32"/>
      <c r="C2021" s="35"/>
      <c r="D2021" s="35"/>
      <c r="E2021" s="35"/>
      <c r="F2021" s="35"/>
      <c r="G2021" s="35"/>
      <c r="H2021" s="35"/>
      <c r="I2021" s="35"/>
      <c r="J2021" s="35"/>
      <c r="K2021" s="35"/>
      <c r="L2021" s="35"/>
      <c r="M2021" s="35"/>
    </row>
    <row r="2022" spans="2:13" x14ac:dyDescent="0.35">
      <c r="B2022" s="32"/>
      <c r="C2022" s="35"/>
      <c r="D2022" s="35"/>
      <c r="E2022" s="35"/>
      <c r="F2022" s="35"/>
      <c r="G2022" s="35"/>
      <c r="H2022" s="35"/>
      <c r="I2022" s="35"/>
      <c r="J2022" s="35"/>
      <c r="K2022" s="35"/>
      <c r="L2022" s="35"/>
      <c r="M2022" s="35"/>
    </row>
    <row r="2023" spans="2:13" x14ac:dyDescent="0.35">
      <c r="B2023" s="32"/>
      <c r="C2023" s="35"/>
      <c r="D2023" s="35"/>
      <c r="E2023" s="35"/>
      <c r="F2023" s="35"/>
      <c r="G2023" s="35"/>
      <c r="H2023" s="35"/>
      <c r="I2023" s="35"/>
      <c r="J2023" s="35"/>
      <c r="K2023" s="35"/>
      <c r="L2023" s="35"/>
      <c r="M2023" s="35"/>
    </row>
    <row r="2024" spans="2:13" x14ac:dyDescent="0.35">
      <c r="B2024" s="32"/>
      <c r="C2024" s="35"/>
      <c r="D2024" s="35"/>
      <c r="E2024" s="35"/>
      <c r="F2024" s="35"/>
      <c r="G2024" s="35"/>
      <c r="H2024" s="35"/>
      <c r="I2024" s="35"/>
      <c r="J2024" s="35"/>
      <c r="K2024" s="35"/>
      <c r="L2024" s="35"/>
      <c r="M2024" s="35"/>
    </row>
    <row r="2025" spans="2:13" x14ac:dyDescent="0.35">
      <c r="B2025" s="32"/>
      <c r="C2025" s="35"/>
      <c r="D2025" s="35"/>
      <c r="E2025" s="35"/>
      <c r="F2025" s="35"/>
      <c r="G2025" s="35"/>
      <c r="H2025" s="35"/>
      <c r="I2025" s="35"/>
      <c r="J2025" s="35"/>
      <c r="K2025" s="35"/>
      <c r="L2025" s="35"/>
      <c r="M2025" s="35"/>
    </row>
    <row r="2026" spans="2:13" x14ac:dyDescent="0.35">
      <c r="B2026" s="32"/>
      <c r="C2026" s="35"/>
      <c r="D2026" s="35"/>
      <c r="E2026" s="35"/>
      <c r="F2026" s="35"/>
      <c r="G2026" s="35"/>
      <c r="H2026" s="35"/>
      <c r="I2026" s="35"/>
      <c r="J2026" s="35"/>
      <c r="K2026" s="35"/>
      <c r="L2026" s="35"/>
      <c r="M2026" s="35"/>
    </row>
    <row r="2027" spans="2:13" x14ac:dyDescent="0.35">
      <c r="B2027" s="32"/>
      <c r="C2027" s="35"/>
      <c r="D2027" s="35"/>
      <c r="E2027" s="35"/>
      <c r="F2027" s="35"/>
      <c r="G2027" s="35"/>
      <c r="H2027" s="35"/>
      <c r="I2027" s="35"/>
      <c r="J2027" s="35"/>
      <c r="K2027" s="35"/>
      <c r="L2027" s="35"/>
      <c r="M2027" s="35"/>
    </row>
    <row r="2028" spans="2:13" x14ac:dyDescent="0.35">
      <c r="B2028" s="32"/>
      <c r="C2028" s="35"/>
      <c r="D2028" s="35"/>
      <c r="E2028" s="35"/>
      <c r="F2028" s="35"/>
      <c r="G2028" s="35"/>
      <c r="H2028" s="35"/>
      <c r="I2028" s="35"/>
      <c r="J2028" s="35"/>
      <c r="K2028" s="35"/>
      <c r="L2028" s="35"/>
      <c r="M2028" s="35"/>
    </row>
    <row r="2029" spans="2:13" x14ac:dyDescent="0.35">
      <c r="B2029" s="32"/>
      <c r="C2029" s="35"/>
      <c r="D2029" s="35"/>
      <c r="E2029" s="35"/>
      <c r="F2029" s="35"/>
      <c r="G2029" s="35"/>
      <c r="H2029" s="35"/>
      <c r="I2029" s="35"/>
      <c r="J2029" s="35"/>
      <c r="K2029" s="35"/>
      <c r="L2029" s="35"/>
      <c r="M2029" s="35"/>
    </row>
    <row r="2030" spans="2:13" x14ac:dyDescent="0.35">
      <c r="B2030" s="32"/>
      <c r="C2030" s="35"/>
      <c r="D2030" s="35"/>
      <c r="E2030" s="35"/>
      <c r="F2030" s="35"/>
      <c r="G2030" s="35"/>
      <c r="H2030" s="35"/>
      <c r="I2030" s="35"/>
      <c r="J2030" s="35"/>
      <c r="K2030" s="35"/>
      <c r="L2030" s="35"/>
      <c r="M2030" s="35"/>
    </row>
    <row r="2031" spans="2:13" x14ac:dyDescent="0.35">
      <c r="B2031" s="32"/>
      <c r="C2031" s="35"/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</row>
    <row r="2032" spans="2:13" x14ac:dyDescent="0.35">
      <c r="B2032" s="32"/>
      <c r="C2032" s="35"/>
      <c r="D2032" s="35"/>
      <c r="E2032" s="35"/>
      <c r="F2032" s="35"/>
      <c r="G2032" s="35"/>
      <c r="H2032" s="35"/>
      <c r="I2032" s="35"/>
      <c r="J2032" s="35"/>
      <c r="K2032" s="35"/>
      <c r="L2032" s="35"/>
      <c r="M2032" s="35"/>
    </row>
    <row r="2033" spans="2:13" x14ac:dyDescent="0.35">
      <c r="B2033" s="32"/>
      <c r="C2033" s="35"/>
      <c r="D2033" s="35"/>
      <c r="E2033" s="35"/>
      <c r="F2033" s="35"/>
      <c r="G2033" s="35"/>
      <c r="H2033" s="35"/>
      <c r="I2033" s="35"/>
      <c r="J2033" s="35"/>
      <c r="K2033" s="35"/>
      <c r="L2033" s="35"/>
      <c r="M2033" s="35"/>
    </row>
    <row r="2034" spans="2:13" x14ac:dyDescent="0.35">
      <c r="B2034" s="32"/>
      <c r="C2034" s="35"/>
      <c r="D2034" s="35"/>
      <c r="E2034" s="35"/>
      <c r="F2034" s="35"/>
      <c r="G2034" s="35"/>
      <c r="H2034" s="35"/>
      <c r="I2034" s="35"/>
      <c r="J2034" s="35"/>
      <c r="K2034" s="35"/>
      <c r="L2034" s="35"/>
      <c r="M2034" s="35"/>
    </row>
    <row r="2035" spans="2:13" x14ac:dyDescent="0.35">
      <c r="B2035" s="32"/>
      <c r="C2035" s="35"/>
      <c r="D2035" s="35"/>
      <c r="E2035" s="35"/>
      <c r="F2035" s="35"/>
      <c r="G2035" s="35"/>
      <c r="H2035" s="35"/>
      <c r="I2035" s="35"/>
      <c r="J2035" s="35"/>
      <c r="K2035" s="35"/>
      <c r="L2035" s="35"/>
      <c r="M2035" s="35"/>
    </row>
    <row r="2036" spans="2:13" x14ac:dyDescent="0.35">
      <c r="B2036" s="32"/>
      <c r="C2036" s="35"/>
      <c r="D2036" s="35"/>
      <c r="E2036" s="35"/>
      <c r="F2036" s="35"/>
      <c r="G2036" s="35"/>
      <c r="H2036" s="35"/>
      <c r="I2036" s="35"/>
      <c r="J2036" s="35"/>
      <c r="K2036" s="35"/>
      <c r="L2036" s="35"/>
      <c r="M2036" s="35"/>
    </row>
    <row r="2037" spans="2:13" x14ac:dyDescent="0.35">
      <c r="B2037" s="32"/>
      <c r="C2037" s="35"/>
      <c r="D2037" s="35"/>
      <c r="E2037" s="35"/>
      <c r="F2037" s="35"/>
      <c r="G2037" s="35"/>
      <c r="H2037" s="35"/>
      <c r="I2037" s="35"/>
      <c r="J2037" s="35"/>
      <c r="K2037" s="35"/>
      <c r="L2037" s="35"/>
      <c r="M2037" s="35"/>
    </row>
    <row r="2038" spans="2:13" x14ac:dyDescent="0.35">
      <c r="B2038" s="32"/>
      <c r="C2038" s="35"/>
      <c r="D2038" s="35"/>
      <c r="E2038" s="35"/>
      <c r="F2038" s="35"/>
      <c r="G2038" s="35"/>
      <c r="H2038" s="35"/>
      <c r="I2038" s="35"/>
      <c r="J2038" s="35"/>
      <c r="K2038" s="35"/>
      <c r="L2038" s="35"/>
      <c r="M2038" s="35"/>
    </row>
    <row r="2039" spans="2:13" x14ac:dyDescent="0.35">
      <c r="B2039" s="32"/>
      <c r="C2039" s="35"/>
      <c r="D2039" s="35"/>
      <c r="E2039" s="35"/>
      <c r="F2039" s="35"/>
      <c r="G2039" s="35"/>
      <c r="H2039" s="35"/>
      <c r="I2039" s="35"/>
      <c r="J2039" s="35"/>
      <c r="K2039" s="35"/>
      <c r="L2039" s="35"/>
      <c r="M2039" s="35"/>
    </row>
    <row r="2040" spans="2:13" x14ac:dyDescent="0.35">
      <c r="B2040" s="32"/>
      <c r="C2040" s="35"/>
      <c r="D2040" s="35"/>
      <c r="E2040" s="35"/>
      <c r="F2040" s="35"/>
      <c r="G2040" s="35"/>
      <c r="H2040" s="35"/>
      <c r="I2040" s="35"/>
      <c r="J2040" s="35"/>
      <c r="K2040" s="35"/>
      <c r="L2040" s="35"/>
      <c r="M2040" s="35"/>
    </row>
    <row r="2041" spans="2:13" x14ac:dyDescent="0.35">
      <c r="B2041" s="32"/>
      <c r="C2041" s="35"/>
      <c r="D2041" s="35"/>
      <c r="E2041" s="35"/>
      <c r="F2041" s="35"/>
      <c r="G2041" s="35"/>
      <c r="H2041" s="35"/>
      <c r="I2041" s="35"/>
      <c r="J2041" s="35"/>
      <c r="K2041" s="35"/>
      <c r="L2041" s="35"/>
      <c r="M2041" s="35"/>
    </row>
    <row r="2042" spans="2:13" x14ac:dyDescent="0.35">
      <c r="B2042" s="32"/>
      <c r="C2042" s="35"/>
      <c r="D2042" s="35"/>
      <c r="E2042" s="35"/>
      <c r="F2042" s="35"/>
      <c r="G2042" s="35"/>
      <c r="H2042" s="35"/>
      <c r="I2042" s="35"/>
      <c r="J2042" s="35"/>
      <c r="K2042" s="35"/>
      <c r="L2042" s="35"/>
      <c r="M2042" s="35"/>
    </row>
    <row r="2043" spans="2:13" x14ac:dyDescent="0.35">
      <c r="B2043" s="32"/>
      <c r="C2043" s="35"/>
      <c r="D2043" s="35"/>
      <c r="E2043" s="35"/>
      <c r="F2043" s="35"/>
      <c r="G2043" s="35"/>
      <c r="H2043" s="35"/>
      <c r="I2043" s="35"/>
      <c r="J2043" s="35"/>
      <c r="K2043" s="35"/>
      <c r="L2043" s="35"/>
      <c r="M2043" s="35"/>
    </row>
    <row r="2044" spans="2:13" x14ac:dyDescent="0.35">
      <c r="B2044" s="32"/>
      <c r="C2044" s="35"/>
      <c r="D2044" s="35"/>
      <c r="E2044" s="35"/>
      <c r="F2044" s="35"/>
      <c r="G2044" s="35"/>
      <c r="H2044" s="35"/>
      <c r="I2044" s="35"/>
      <c r="J2044" s="35"/>
      <c r="K2044" s="35"/>
      <c r="L2044" s="35"/>
      <c r="M2044" s="35"/>
    </row>
    <row r="2045" spans="2:13" x14ac:dyDescent="0.35">
      <c r="B2045" s="32"/>
      <c r="C2045" s="35"/>
      <c r="D2045" s="35"/>
      <c r="E2045" s="35"/>
      <c r="F2045" s="35"/>
      <c r="G2045" s="35"/>
      <c r="H2045" s="35"/>
      <c r="I2045" s="35"/>
      <c r="J2045" s="35"/>
      <c r="K2045" s="35"/>
      <c r="L2045" s="35"/>
      <c r="M2045" s="35"/>
    </row>
    <row r="2046" spans="2:13" x14ac:dyDescent="0.35">
      <c r="B2046" s="32"/>
      <c r="C2046" s="35"/>
      <c r="D2046" s="35"/>
      <c r="E2046" s="35"/>
      <c r="F2046" s="35"/>
      <c r="G2046" s="35"/>
      <c r="H2046" s="35"/>
      <c r="I2046" s="35"/>
      <c r="J2046" s="35"/>
      <c r="K2046" s="35"/>
      <c r="L2046" s="35"/>
      <c r="M2046" s="35"/>
    </row>
    <row r="2047" spans="2:13" x14ac:dyDescent="0.35">
      <c r="B2047" s="32"/>
      <c r="C2047" s="35"/>
      <c r="D2047" s="35"/>
      <c r="E2047" s="35"/>
      <c r="F2047" s="35"/>
      <c r="G2047" s="35"/>
      <c r="H2047" s="35"/>
      <c r="I2047" s="35"/>
      <c r="J2047" s="35"/>
      <c r="K2047" s="35"/>
      <c r="L2047" s="35"/>
      <c r="M2047" s="35"/>
    </row>
    <row r="2048" spans="2:13" x14ac:dyDescent="0.35">
      <c r="B2048" s="32"/>
      <c r="C2048" s="35"/>
      <c r="D2048" s="35"/>
      <c r="E2048" s="35"/>
      <c r="F2048" s="35"/>
      <c r="G2048" s="35"/>
      <c r="H2048" s="35"/>
      <c r="I2048" s="35"/>
      <c r="J2048" s="35"/>
      <c r="K2048" s="35"/>
      <c r="L2048" s="35"/>
      <c r="M2048" s="35"/>
    </row>
    <row r="2049" spans="2:13" x14ac:dyDescent="0.35">
      <c r="B2049" s="32"/>
      <c r="C2049" s="35"/>
      <c r="D2049" s="35"/>
      <c r="E2049" s="35"/>
      <c r="F2049" s="35"/>
      <c r="G2049" s="35"/>
      <c r="H2049" s="35"/>
      <c r="I2049" s="35"/>
      <c r="J2049" s="35"/>
      <c r="K2049" s="35"/>
      <c r="L2049" s="35"/>
      <c r="M2049" s="35"/>
    </row>
    <row r="2050" spans="2:13" x14ac:dyDescent="0.35">
      <c r="B2050" s="32"/>
      <c r="C2050" s="35"/>
      <c r="D2050" s="35"/>
      <c r="E2050" s="35"/>
      <c r="F2050" s="35"/>
      <c r="G2050" s="35"/>
      <c r="H2050" s="35"/>
      <c r="I2050" s="35"/>
      <c r="J2050" s="35"/>
      <c r="K2050" s="35"/>
      <c r="L2050" s="35"/>
      <c r="M2050" s="35"/>
    </row>
    <row r="2051" spans="2:13" x14ac:dyDescent="0.35">
      <c r="B2051" s="32"/>
      <c r="C2051" s="35"/>
      <c r="D2051" s="35"/>
      <c r="E2051" s="35"/>
      <c r="F2051" s="35"/>
      <c r="G2051" s="35"/>
      <c r="H2051" s="35"/>
      <c r="I2051" s="35"/>
      <c r="J2051" s="35"/>
      <c r="K2051" s="35"/>
      <c r="L2051" s="35"/>
      <c r="M2051" s="35"/>
    </row>
    <row r="2052" spans="2:13" x14ac:dyDescent="0.35">
      <c r="B2052" s="32"/>
      <c r="C2052" s="35"/>
      <c r="D2052" s="35"/>
      <c r="E2052" s="35"/>
      <c r="F2052" s="35"/>
      <c r="G2052" s="35"/>
      <c r="H2052" s="35"/>
      <c r="I2052" s="35"/>
      <c r="J2052" s="35"/>
      <c r="K2052" s="35"/>
      <c r="L2052" s="35"/>
      <c r="M2052" s="35"/>
    </row>
    <row r="2053" spans="2:13" x14ac:dyDescent="0.35">
      <c r="B2053" s="32"/>
      <c r="C2053" s="35"/>
      <c r="D2053" s="35"/>
      <c r="E2053" s="35"/>
      <c r="F2053" s="35"/>
      <c r="G2053" s="35"/>
      <c r="H2053" s="35"/>
      <c r="I2053" s="35"/>
      <c r="J2053" s="35"/>
      <c r="K2053" s="35"/>
      <c r="L2053" s="35"/>
      <c r="M2053" s="35"/>
    </row>
    <row r="2054" spans="2:13" x14ac:dyDescent="0.35">
      <c r="B2054" s="32"/>
      <c r="C2054" s="35"/>
      <c r="D2054" s="35"/>
      <c r="E2054" s="35"/>
      <c r="F2054" s="35"/>
      <c r="G2054" s="35"/>
      <c r="H2054" s="35"/>
      <c r="I2054" s="35"/>
      <c r="J2054" s="35"/>
      <c r="K2054" s="35"/>
      <c r="L2054" s="35"/>
      <c r="M2054" s="35"/>
    </row>
    <row r="2055" spans="2:13" x14ac:dyDescent="0.35">
      <c r="B2055" s="32"/>
      <c r="C2055" s="35"/>
      <c r="D2055" s="35"/>
      <c r="E2055" s="35"/>
      <c r="F2055" s="35"/>
      <c r="G2055" s="35"/>
      <c r="H2055" s="35"/>
      <c r="I2055" s="35"/>
      <c r="J2055" s="35"/>
      <c r="K2055" s="35"/>
      <c r="L2055" s="35"/>
      <c r="M2055" s="35"/>
    </row>
    <row r="2056" spans="2:13" x14ac:dyDescent="0.35">
      <c r="B2056" s="32"/>
      <c r="C2056" s="35"/>
      <c r="D2056" s="35"/>
      <c r="E2056" s="35"/>
      <c r="F2056" s="35"/>
      <c r="G2056" s="35"/>
      <c r="H2056" s="35"/>
      <c r="I2056" s="35"/>
      <c r="J2056" s="35"/>
      <c r="K2056" s="35"/>
      <c r="L2056" s="35"/>
      <c r="M2056" s="35"/>
    </row>
    <row r="2057" spans="2:13" x14ac:dyDescent="0.35">
      <c r="B2057" s="32"/>
      <c r="C2057" s="35"/>
      <c r="D2057" s="35"/>
      <c r="E2057" s="35"/>
      <c r="F2057" s="35"/>
      <c r="G2057" s="35"/>
      <c r="H2057" s="35"/>
      <c r="I2057" s="35"/>
      <c r="J2057" s="35"/>
      <c r="K2057" s="35"/>
      <c r="L2057" s="35"/>
      <c r="M2057" s="35"/>
    </row>
    <row r="2058" spans="2:13" x14ac:dyDescent="0.35">
      <c r="B2058" s="32"/>
      <c r="C2058" s="35"/>
      <c r="D2058" s="35"/>
      <c r="E2058" s="35"/>
      <c r="F2058" s="35"/>
      <c r="G2058" s="35"/>
      <c r="H2058" s="35"/>
      <c r="I2058" s="35"/>
      <c r="J2058" s="35"/>
      <c r="K2058" s="35"/>
      <c r="L2058" s="35"/>
      <c r="M2058" s="35"/>
    </row>
    <row r="2059" spans="2:13" x14ac:dyDescent="0.35">
      <c r="B2059" s="32"/>
      <c r="C2059" s="35"/>
      <c r="D2059" s="35"/>
      <c r="E2059" s="35"/>
      <c r="F2059" s="35"/>
      <c r="G2059" s="35"/>
      <c r="H2059" s="35"/>
      <c r="I2059" s="35"/>
      <c r="J2059" s="35"/>
      <c r="K2059" s="35"/>
      <c r="L2059" s="35"/>
      <c r="M2059" s="35"/>
    </row>
    <row r="2060" spans="2:13" x14ac:dyDescent="0.35">
      <c r="B2060" s="32"/>
      <c r="C2060" s="35"/>
      <c r="D2060" s="35"/>
      <c r="E2060" s="35"/>
      <c r="F2060" s="35"/>
      <c r="G2060" s="35"/>
      <c r="H2060" s="35"/>
      <c r="I2060" s="35"/>
      <c r="J2060" s="35"/>
      <c r="K2060" s="35"/>
      <c r="L2060" s="35"/>
      <c r="M2060" s="35"/>
    </row>
    <row r="2061" spans="2:13" x14ac:dyDescent="0.35">
      <c r="B2061" s="32"/>
      <c r="C2061" s="35"/>
      <c r="D2061" s="35"/>
      <c r="E2061" s="35"/>
      <c r="F2061" s="35"/>
      <c r="G2061" s="35"/>
      <c r="H2061" s="35"/>
      <c r="I2061" s="35"/>
      <c r="J2061" s="35"/>
      <c r="K2061" s="35"/>
      <c r="L2061" s="35"/>
      <c r="M2061" s="35"/>
    </row>
    <row r="2062" spans="2:13" x14ac:dyDescent="0.35">
      <c r="B2062" s="32"/>
      <c r="C2062" s="35"/>
      <c r="D2062" s="35"/>
      <c r="E2062" s="35"/>
      <c r="F2062" s="35"/>
      <c r="G2062" s="35"/>
      <c r="H2062" s="35"/>
      <c r="I2062" s="35"/>
      <c r="J2062" s="35"/>
      <c r="K2062" s="35"/>
      <c r="L2062" s="35"/>
      <c r="M2062" s="35"/>
    </row>
    <row r="2063" spans="2:13" x14ac:dyDescent="0.35">
      <c r="B2063" s="32"/>
      <c r="C2063" s="35"/>
      <c r="D2063" s="35"/>
      <c r="E2063" s="35"/>
      <c r="F2063" s="35"/>
      <c r="G2063" s="35"/>
      <c r="H2063" s="35"/>
      <c r="I2063" s="35"/>
      <c r="J2063" s="35"/>
      <c r="K2063" s="35"/>
      <c r="L2063" s="35"/>
      <c r="M2063" s="35"/>
    </row>
    <row r="2064" spans="2:13" x14ac:dyDescent="0.35">
      <c r="B2064" s="32"/>
      <c r="C2064" s="35"/>
      <c r="D2064" s="35"/>
      <c r="E2064" s="35"/>
      <c r="F2064" s="35"/>
      <c r="G2064" s="35"/>
      <c r="H2064" s="35"/>
      <c r="I2064" s="35"/>
      <c r="J2064" s="35"/>
      <c r="K2064" s="35"/>
      <c r="L2064" s="35"/>
      <c r="M2064" s="35"/>
    </row>
    <row r="2065" spans="2:13" x14ac:dyDescent="0.35">
      <c r="B2065" s="32"/>
      <c r="C2065" s="35"/>
      <c r="D2065" s="35"/>
      <c r="E2065" s="35"/>
      <c r="F2065" s="35"/>
      <c r="G2065" s="35"/>
      <c r="H2065" s="35"/>
      <c r="I2065" s="35"/>
      <c r="J2065" s="35"/>
      <c r="K2065" s="35"/>
      <c r="L2065" s="35"/>
      <c r="M2065" s="35"/>
    </row>
    <row r="2066" spans="2:13" x14ac:dyDescent="0.35">
      <c r="B2066" s="32"/>
      <c r="C2066" s="35"/>
      <c r="D2066" s="35"/>
      <c r="E2066" s="35"/>
      <c r="F2066" s="35"/>
      <c r="G2066" s="35"/>
      <c r="H2066" s="35"/>
      <c r="I2066" s="35"/>
      <c r="J2066" s="35"/>
      <c r="K2066" s="35"/>
      <c r="L2066" s="35"/>
      <c r="M2066" s="35"/>
    </row>
    <row r="2067" spans="2:13" x14ac:dyDescent="0.35">
      <c r="B2067" s="32"/>
      <c r="C2067" s="35"/>
      <c r="D2067" s="35"/>
      <c r="E2067" s="35"/>
      <c r="F2067" s="35"/>
      <c r="G2067" s="35"/>
      <c r="H2067" s="35"/>
      <c r="I2067" s="35"/>
      <c r="J2067" s="35"/>
      <c r="K2067" s="35"/>
      <c r="L2067" s="35"/>
      <c r="M2067" s="35"/>
    </row>
    <row r="2068" spans="2:13" x14ac:dyDescent="0.35">
      <c r="B2068" s="32"/>
      <c r="C2068" s="35"/>
      <c r="D2068" s="35"/>
      <c r="E2068" s="35"/>
      <c r="F2068" s="35"/>
      <c r="G2068" s="35"/>
      <c r="H2068" s="35"/>
      <c r="I2068" s="35"/>
      <c r="J2068" s="35"/>
      <c r="K2068" s="35"/>
      <c r="L2068" s="35"/>
      <c r="M2068" s="35"/>
    </row>
    <row r="2069" spans="2:13" x14ac:dyDescent="0.35">
      <c r="B2069" s="32"/>
      <c r="C2069" s="35"/>
      <c r="D2069" s="35"/>
      <c r="E2069" s="35"/>
      <c r="F2069" s="35"/>
      <c r="G2069" s="35"/>
      <c r="H2069" s="35"/>
      <c r="I2069" s="35"/>
      <c r="J2069" s="35"/>
      <c r="K2069" s="35"/>
      <c r="L2069" s="35"/>
      <c r="M2069" s="35"/>
    </row>
    <row r="2070" spans="2:13" x14ac:dyDescent="0.35">
      <c r="B2070" s="32"/>
      <c r="C2070" s="35"/>
      <c r="D2070" s="35"/>
      <c r="E2070" s="35"/>
      <c r="F2070" s="35"/>
      <c r="G2070" s="35"/>
      <c r="H2070" s="35"/>
      <c r="I2070" s="35"/>
      <c r="J2070" s="35"/>
      <c r="K2070" s="35"/>
      <c r="L2070" s="35"/>
      <c r="M2070" s="35"/>
    </row>
    <row r="2071" spans="2:13" x14ac:dyDescent="0.35">
      <c r="B2071" s="32"/>
      <c r="C2071" s="35"/>
      <c r="D2071" s="35"/>
      <c r="E2071" s="35"/>
      <c r="F2071" s="35"/>
      <c r="G2071" s="35"/>
      <c r="H2071" s="35"/>
      <c r="I2071" s="35"/>
      <c r="J2071" s="35"/>
      <c r="K2071" s="35"/>
      <c r="L2071" s="35"/>
      <c r="M2071" s="35"/>
    </row>
    <row r="2072" spans="2:13" x14ac:dyDescent="0.35">
      <c r="B2072" s="32"/>
      <c r="C2072" s="35"/>
      <c r="D2072" s="35"/>
      <c r="E2072" s="35"/>
      <c r="F2072" s="35"/>
      <c r="G2072" s="35"/>
      <c r="H2072" s="35"/>
      <c r="I2072" s="35"/>
      <c r="J2072" s="35"/>
      <c r="K2072" s="35"/>
      <c r="L2072" s="35"/>
      <c r="M2072" s="35"/>
    </row>
    <row r="2073" spans="2:13" x14ac:dyDescent="0.35">
      <c r="B2073" s="32"/>
      <c r="C2073" s="35"/>
      <c r="D2073" s="35"/>
      <c r="E2073" s="35"/>
      <c r="F2073" s="35"/>
      <c r="G2073" s="35"/>
      <c r="H2073" s="35"/>
      <c r="I2073" s="35"/>
      <c r="J2073" s="35"/>
      <c r="K2073" s="35"/>
      <c r="L2073" s="35"/>
      <c r="M2073" s="35"/>
    </row>
    <row r="2074" spans="2:13" x14ac:dyDescent="0.35">
      <c r="B2074" s="32"/>
      <c r="C2074" s="35"/>
      <c r="D2074" s="35"/>
      <c r="E2074" s="35"/>
      <c r="F2074" s="35"/>
      <c r="G2074" s="35"/>
      <c r="H2074" s="35"/>
      <c r="I2074" s="35"/>
      <c r="J2074" s="35"/>
      <c r="K2074" s="35"/>
      <c r="L2074" s="35"/>
      <c r="M2074" s="35"/>
    </row>
    <row r="2075" spans="2:13" x14ac:dyDescent="0.35">
      <c r="B2075" s="32"/>
      <c r="C2075" s="35"/>
      <c r="D2075" s="35"/>
      <c r="E2075" s="35"/>
      <c r="F2075" s="35"/>
      <c r="G2075" s="35"/>
      <c r="H2075" s="35"/>
      <c r="I2075" s="35"/>
      <c r="J2075" s="35"/>
      <c r="K2075" s="35"/>
      <c r="L2075" s="35"/>
      <c r="M2075" s="35"/>
    </row>
    <row r="2076" spans="2:13" x14ac:dyDescent="0.35">
      <c r="B2076" s="32"/>
      <c r="C2076" s="35"/>
      <c r="D2076" s="35"/>
      <c r="E2076" s="35"/>
      <c r="F2076" s="35"/>
      <c r="G2076" s="35"/>
      <c r="H2076" s="35"/>
      <c r="I2076" s="35"/>
      <c r="J2076" s="35"/>
      <c r="K2076" s="35"/>
      <c r="L2076" s="35"/>
      <c r="M2076" s="35"/>
    </row>
    <row r="2077" spans="2:13" x14ac:dyDescent="0.35">
      <c r="B2077" s="32"/>
      <c r="C2077" s="35"/>
      <c r="D2077" s="35"/>
      <c r="E2077" s="35"/>
      <c r="F2077" s="35"/>
      <c r="G2077" s="35"/>
      <c r="H2077" s="35"/>
      <c r="I2077" s="35"/>
      <c r="J2077" s="35"/>
      <c r="K2077" s="35"/>
      <c r="L2077" s="35"/>
      <c r="M2077" s="35"/>
    </row>
    <row r="2078" spans="2:13" x14ac:dyDescent="0.35">
      <c r="B2078" s="32"/>
      <c r="C2078" s="35"/>
      <c r="D2078" s="35"/>
      <c r="E2078" s="35"/>
      <c r="F2078" s="35"/>
      <c r="G2078" s="35"/>
      <c r="H2078" s="35"/>
      <c r="I2078" s="35"/>
      <c r="J2078" s="35"/>
      <c r="K2078" s="35"/>
      <c r="L2078" s="35"/>
      <c r="M2078" s="35"/>
    </row>
    <row r="2079" spans="2:13" x14ac:dyDescent="0.35">
      <c r="B2079" s="32"/>
      <c r="C2079" s="35"/>
      <c r="D2079" s="35"/>
      <c r="E2079" s="35"/>
      <c r="F2079" s="35"/>
      <c r="G2079" s="35"/>
      <c r="H2079" s="35"/>
      <c r="I2079" s="35"/>
      <c r="J2079" s="35"/>
      <c r="K2079" s="35"/>
      <c r="L2079" s="35"/>
      <c r="M2079" s="35"/>
    </row>
    <row r="2080" spans="2:13" x14ac:dyDescent="0.35">
      <c r="B2080" s="32"/>
      <c r="C2080" s="35"/>
      <c r="D2080" s="35"/>
      <c r="E2080" s="35"/>
      <c r="F2080" s="35"/>
      <c r="G2080" s="35"/>
      <c r="H2080" s="35"/>
      <c r="I2080" s="35"/>
      <c r="J2080" s="35"/>
      <c r="K2080" s="35"/>
      <c r="L2080" s="35"/>
      <c r="M2080" s="35"/>
    </row>
    <row r="2081" spans="2:13" x14ac:dyDescent="0.35">
      <c r="B2081" s="32"/>
      <c r="C2081" s="35"/>
      <c r="D2081" s="35"/>
      <c r="E2081" s="35"/>
      <c r="F2081" s="35"/>
      <c r="G2081" s="35"/>
      <c r="H2081" s="35"/>
      <c r="I2081" s="35"/>
      <c r="J2081" s="35"/>
      <c r="K2081" s="35"/>
      <c r="L2081" s="35"/>
      <c r="M2081" s="35"/>
    </row>
    <row r="2082" spans="2:13" x14ac:dyDescent="0.35">
      <c r="B2082" s="32"/>
      <c r="C2082" s="35"/>
      <c r="D2082" s="35"/>
      <c r="E2082" s="35"/>
      <c r="F2082" s="35"/>
      <c r="G2082" s="35"/>
      <c r="H2082" s="35"/>
      <c r="I2082" s="35"/>
      <c r="J2082" s="35"/>
      <c r="K2082" s="35"/>
      <c r="L2082" s="35"/>
      <c r="M2082" s="35"/>
    </row>
    <row r="2083" spans="2:13" x14ac:dyDescent="0.35">
      <c r="B2083" s="32"/>
      <c r="C2083" s="35"/>
      <c r="D2083" s="35"/>
      <c r="E2083" s="35"/>
      <c r="F2083" s="35"/>
      <c r="G2083" s="35"/>
      <c r="H2083" s="35"/>
      <c r="I2083" s="35"/>
      <c r="J2083" s="35"/>
      <c r="K2083" s="35"/>
      <c r="L2083" s="35"/>
      <c r="M2083" s="35"/>
    </row>
    <row r="2084" spans="2:13" x14ac:dyDescent="0.35">
      <c r="B2084" s="32"/>
      <c r="C2084" s="35"/>
      <c r="D2084" s="35"/>
      <c r="E2084" s="35"/>
      <c r="F2084" s="35"/>
      <c r="G2084" s="35"/>
      <c r="H2084" s="35"/>
      <c r="I2084" s="35"/>
      <c r="J2084" s="35"/>
      <c r="K2084" s="35"/>
      <c r="L2084" s="35"/>
      <c r="M2084" s="35"/>
    </row>
    <row r="2085" spans="2:13" x14ac:dyDescent="0.35">
      <c r="B2085" s="32"/>
      <c r="C2085" s="35"/>
      <c r="D2085" s="35"/>
      <c r="E2085" s="35"/>
      <c r="F2085" s="35"/>
      <c r="G2085" s="35"/>
      <c r="H2085" s="35"/>
      <c r="I2085" s="35"/>
      <c r="J2085" s="35"/>
      <c r="K2085" s="35"/>
      <c r="L2085" s="35"/>
      <c r="M2085" s="35"/>
    </row>
    <row r="2086" spans="2:13" x14ac:dyDescent="0.35">
      <c r="B2086" s="32"/>
      <c r="C2086" s="35"/>
      <c r="D2086" s="35"/>
      <c r="E2086" s="35"/>
      <c r="F2086" s="35"/>
      <c r="G2086" s="35"/>
      <c r="H2086" s="35"/>
      <c r="I2086" s="35"/>
      <c r="J2086" s="35"/>
      <c r="K2086" s="35"/>
      <c r="L2086" s="35"/>
      <c r="M2086" s="35"/>
    </row>
    <row r="2087" spans="2:13" x14ac:dyDescent="0.35">
      <c r="B2087" s="32"/>
      <c r="C2087" s="35"/>
      <c r="D2087" s="35"/>
      <c r="E2087" s="35"/>
      <c r="F2087" s="35"/>
      <c r="G2087" s="35"/>
      <c r="H2087" s="35"/>
      <c r="I2087" s="35"/>
      <c r="J2087" s="35"/>
      <c r="K2087" s="35"/>
      <c r="L2087" s="35"/>
      <c r="M2087" s="35"/>
    </row>
    <row r="2088" spans="2:13" x14ac:dyDescent="0.35">
      <c r="B2088" s="32"/>
      <c r="C2088" s="35"/>
      <c r="D2088" s="35"/>
      <c r="E2088" s="35"/>
      <c r="F2088" s="35"/>
      <c r="G2088" s="35"/>
      <c r="H2088" s="35"/>
      <c r="I2088" s="35"/>
      <c r="J2088" s="35"/>
      <c r="K2088" s="35"/>
      <c r="L2088" s="35"/>
      <c r="M2088" s="35"/>
    </row>
    <row r="2089" spans="2:13" x14ac:dyDescent="0.35">
      <c r="B2089" s="32"/>
      <c r="C2089" s="35"/>
      <c r="D2089" s="35"/>
      <c r="E2089" s="35"/>
      <c r="F2089" s="35"/>
      <c r="G2089" s="35"/>
      <c r="H2089" s="35"/>
      <c r="I2089" s="35"/>
      <c r="J2089" s="35"/>
      <c r="K2089" s="35"/>
      <c r="L2089" s="35"/>
      <c r="M2089" s="35"/>
    </row>
    <row r="2090" spans="2:13" x14ac:dyDescent="0.35">
      <c r="B2090" s="32"/>
      <c r="C2090" s="35"/>
      <c r="D2090" s="35"/>
      <c r="E2090" s="35"/>
      <c r="F2090" s="35"/>
      <c r="G2090" s="35"/>
      <c r="H2090" s="35"/>
      <c r="I2090" s="35"/>
      <c r="J2090" s="35"/>
      <c r="K2090" s="35"/>
      <c r="L2090" s="35"/>
      <c r="M2090" s="35"/>
    </row>
    <row r="2091" spans="2:13" x14ac:dyDescent="0.35">
      <c r="B2091" s="32"/>
      <c r="C2091" s="35"/>
      <c r="D2091" s="35"/>
      <c r="E2091" s="35"/>
      <c r="F2091" s="35"/>
      <c r="G2091" s="35"/>
      <c r="H2091" s="35"/>
      <c r="I2091" s="35"/>
      <c r="J2091" s="35"/>
      <c r="K2091" s="35"/>
      <c r="L2091" s="35"/>
      <c r="M2091" s="35"/>
    </row>
    <row r="2092" spans="2:13" x14ac:dyDescent="0.35">
      <c r="B2092" s="32"/>
      <c r="C2092" s="35"/>
      <c r="D2092" s="35"/>
      <c r="E2092" s="35"/>
      <c r="F2092" s="35"/>
      <c r="G2092" s="35"/>
      <c r="H2092" s="35"/>
      <c r="I2092" s="35"/>
      <c r="J2092" s="35"/>
      <c r="K2092" s="35"/>
      <c r="L2092" s="35"/>
      <c r="M2092" s="35"/>
    </row>
    <row r="2093" spans="2:13" x14ac:dyDescent="0.35">
      <c r="B2093" s="32"/>
      <c r="C2093" s="35"/>
      <c r="D2093" s="35"/>
      <c r="E2093" s="35"/>
      <c r="F2093" s="35"/>
      <c r="G2093" s="35"/>
      <c r="H2093" s="35"/>
      <c r="I2093" s="35"/>
      <c r="J2093" s="35"/>
      <c r="K2093" s="35"/>
      <c r="L2093" s="35"/>
      <c r="M2093" s="35"/>
    </row>
    <row r="2094" spans="2:13" x14ac:dyDescent="0.35">
      <c r="B2094" s="32"/>
      <c r="C2094" s="35"/>
      <c r="D2094" s="35"/>
      <c r="E2094" s="35"/>
      <c r="F2094" s="35"/>
      <c r="G2094" s="35"/>
      <c r="H2094" s="35"/>
      <c r="I2094" s="35"/>
      <c r="J2094" s="35"/>
      <c r="K2094" s="35"/>
      <c r="L2094" s="35"/>
      <c r="M2094" s="35"/>
    </row>
    <row r="2095" spans="2:13" x14ac:dyDescent="0.35">
      <c r="B2095" s="32"/>
      <c r="C2095" s="35"/>
      <c r="D2095" s="35"/>
      <c r="E2095" s="35"/>
      <c r="F2095" s="35"/>
      <c r="G2095" s="35"/>
      <c r="H2095" s="35"/>
      <c r="I2095" s="35"/>
      <c r="J2095" s="35"/>
      <c r="K2095" s="35"/>
      <c r="L2095" s="35"/>
      <c r="M2095" s="35"/>
    </row>
    <row r="2096" spans="2:13" x14ac:dyDescent="0.35">
      <c r="B2096" s="32"/>
      <c r="C2096" s="35"/>
      <c r="D2096" s="35"/>
      <c r="E2096" s="35"/>
      <c r="F2096" s="35"/>
      <c r="G2096" s="35"/>
      <c r="H2096" s="35"/>
      <c r="I2096" s="35"/>
      <c r="J2096" s="35"/>
      <c r="K2096" s="35"/>
      <c r="L2096" s="35"/>
      <c r="M2096" s="35"/>
    </row>
    <row r="2097" spans="2:13" x14ac:dyDescent="0.35">
      <c r="B2097" s="32"/>
      <c r="C2097" s="35"/>
      <c r="D2097" s="35"/>
      <c r="E2097" s="35"/>
      <c r="F2097" s="35"/>
      <c r="G2097" s="35"/>
      <c r="H2097" s="35"/>
      <c r="I2097" s="35"/>
      <c r="J2097" s="35"/>
      <c r="K2097" s="35"/>
      <c r="L2097" s="35"/>
      <c r="M2097" s="35"/>
    </row>
    <row r="2098" spans="2:13" x14ac:dyDescent="0.35">
      <c r="B2098" s="32"/>
      <c r="C2098" s="35"/>
      <c r="D2098" s="35"/>
      <c r="E2098" s="35"/>
      <c r="F2098" s="35"/>
      <c r="G2098" s="35"/>
      <c r="H2098" s="35"/>
      <c r="I2098" s="35"/>
      <c r="J2098" s="35"/>
      <c r="K2098" s="35"/>
      <c r="L2098" s="35"/>
      <c r="M2098" s="35"/>
    </row>
    <row r="2099" spans="2:13" x14ac:dyDescent="0.35">
      <c r="B2099" s="32"/>
      <c r="C2099" s="35"/>
      <c r="D2099" s="35"/>
      <c r="E2099" s="35"/>
      <c r="F2099" s="35"/>
      <c r="G2099" s="35"/>
      <c r="H2099" s="35"/>
      <c r="I2099" s="35"/>
      <c r="J2099" s="35"/>
      <c r="K2099" s="35"/>
      <c r="L2099" s="35"/>
      <c r="M2099" s="35"/>
    </row>
    <row r="2100" spans="2:13" x14ac:dyDescent="0.35">
      <c r="B2100" s="32"/>
      <c r="C2100" s="35"/>
      <c r="D2100" s="35"/>
      <c r="E2100" s="35"/>
      <c r="F2100" s="35"/>
      <c r="G2100" s="35"/>
      <c r="H2100" s="35"/>
      <c r="I2100" s="35"/>
      <c r="J2100" s="35"/>
      <c r="K2100" s="35"/>
      <c r="L2100" s="35"/>
      <c r="M2100" s="35"/>
    </row>
    <row r="2101" spans="2:13" x14ac:dyDescent="0.35">
      <c r="B2101" s="32"/>
      <c r="C2101" s="35"/>
      <c r="D2101" s="35"/>
      <c r="E2101" s="35"/>
      <c r="F2101" s="35"/>
      <c r="G2101" s="35"/>
      <c r="H2101" s="35"/>
      <c r="I2101" s="35"/>
      <c r="J2101" s="35"/>
      <c r="K2101" s="35"/>
      <c r="L2101" s="35"/>
      <c r="M2101" s="35"/>
    </row>
    <row r="2102" spans="2:13" x14ac:dyDescent="0.35">
      <c r="B2102" s="32"/>
      <c r="C2102" s="35"/>
      <c r="D2102" s="35"/>
      <c r="E2102" s="35"/>
      <c r="F2102" s="35"/>
      <c r="G2102" s="35"/>
      <c r="H2102" s="35"/>
      <c r="I2102" s="35"/>
      <c r="J2102" s="35"/>
      <c r="K2102" s="35"/>
      <c r="L2102" s="35"/>
      <c r="M2102" s="35"/>
    </row>
    <row r="2103" spans="2:13" x14ac:dyDescent="0.35">
      <c r="B2103" s="32"/>
      <c r="C2103" s="35"/>
      <c r="D2103" s="35"/>
      <c r="E2103" s="35"/>
      <c r="F2103" s="35"/>
      <c r="G2103" s="35"/>
      <c r="H2103" s="35"/>
      <c r="I2103" s="35"/>
      <c r="J2103" s="35"/>
      <c r="K2103" s="35"/>
      <c r="L2103" s="35"/>
      <c r="M2103" s="35"/>
    </row>
    <row r="2104" spans="2:13" x14ac:dyDescent="0.35">
      <c r="B2104" s="32"/>
      <c r="C2104" s="35"/>
      <c r="D2104" s="35"/>
      <c r="E2104" s="35"/>
      <c r="F2104" s="35"/>
      <c r="G2104" s="35"/>
      <c r="H2104" s="35"/>
      <c r="I2104" s="35"/>
      <c r="J2104" s="35"/>
      <c r="K2104" s="35"/>
      <c r="L2104" s="35"/>
      <c r="M2104" s="35"/>
    </row>
    <row r="2105" spans="2:13" x14ac:dyDescent="0.35">
      <c r="B2105" s="32"/>
      <c r="C2105" s="35"/>
      <c r="D2105" s="35"/>
      <c r="E2105" s="35"/>
      <c r="F2105" s="35"/>
      <c r="G2105" s="35"/>
      <c r="H2105" s="35"/>
      <c r="I2105" s="35"/>
      <c r="J2105" s="35"/>
      <c r="K2105" s="35"/>
      <c r="L2105" s="35"/>
      <c r="M2105" s="35"/>
    </row>
    <row r="2106" spans="2:13" x14ac:dyDescent="0.35">
      <c r="B2106" s="32"/>
      <c r="C2106" s="35"/>
      <c r="D2106" s="35"/>
      <c r="E2106" s="35"/>
      <c r="F2106" s="35"/>
      <c r="G2106" s="35"/>
      <c r="H2106" s="35"/>
      <c r="I2106" s="35"/>
      <c r="J2106" s="35"/>
      <c r="K2106" s="35"/>
      <c r="L2106" s="35"/>
      <c r="M2106" s="35"/>
    </row>
    <row r="2107" spans="2:13" x14ac:dyDescent="0.35">
      <c r="B2107" s="32"/>
      <c r="C2107" s="35"/>
      <c r="D2107" s="35"/>
      <c r="E2107" s="35"/>
      <c r="F2107" s="35"/>
      <c r="G2107" s="35"/>
      <c r="H2107" s="35"/>
      <c r="I2107" s="35"/>
      <c r="J2107" s="35"/>
      <c r="K2107" s="35"/>
      <c r="L2107" s="35"/>
      <c r="M2107" s="35"/>
    </row>
    <row r="2108" spans="2:13" x14ac:dyDescent="0.35">
      <c r="B2108" s="32"/>
      <c r="C2108" s="35"/>
      <c r="D2108" s="35"/>
      <c r="E2108" s="35"/>
      <c r="F2108" s="35"/>
      <c r="G2108" s="35"/>
      <c r="H2108" s="35"/>
      <c r="I2108" s="35"/>
      <c r="J2108" s="35"/>
      <c r="K2108" s="35"/>
      <c r="L2108" s="35"/>
      <c r="M2108" s="35"/>
    </row>
    <row r="2109" spans="2:13" x14ac:dyDescent="0.35">
      <c r="B2109" s="32"/>
      <c r="C2109" s="35"/>
      <c r="D2109" s="35"/>
      <c r="E2109" s="35"/>
      <c r="F2109" s="35"/>
      <c r="G2109" s="35"/>
      <c r="H2109" s="35"/>
      <c r="I2109" s="35"/>
      <c r="J2109" s="35"/>
      <c r="K2109" s="35"/>
      <c r="L2109" s="35"/>
      <c r="M2109" s="35"/>
    </row>
    <row r="2110" spans="2:13" x14ac:dyDescent="0.35">
      <c r="B2110" s="32"/>
      <c r="C2110" s="35"/>
      <c r="D2110" s="35"/>
      <c r="E2110" s="35"/>
      <c r="F2110" s="35"/>
      <c r="G2110" s="35"/>
      <c r="H2110" s="35"/>
      <c r="I2110" s="35"/>
      <c r="J2110" s="35"/>
      <c r="K2110" s="35"/>
      <c r="L2110" s="35"/>
      <c r="M2110" s="35"/>
    </row>
    <row r="2111" spans="2:13" x14ac:dyDescent="0.35">
      <c r="B2111" s="32"/>
      <c r="C2111" s="35"/>
      <c r="D2111" s="35"/>
      <c r="E2111" s="35"/>
      <c r="F2111" s="35"/>
      <c r="G2111" s="35"/>
      <c r="H2111" s="35"/>
      <c r="I2111" s="35"/>
      <c r="J2111" s="35"/>
      <c r="K2111" s="35"/>
      <c r="L2111" s="35"/>
      <c r="M2111" s="35"/>
    </row>
    <row r="2112" spans="2:13" x14ac:dyDescent="0.35">
      <c r="B2112" s="32"/>
      <c r="C2112" s="35"/>
      <c r="D2112" s="35"/>
      <c r="E2112" s="35"/>
      <c r="F2112" s="35"/>
      <c r="G2112" s="35"/>
      <c r="H2112" s="35"/>
      <c r="I2112" s="35"/>
      <c r="J2112" s="35"/>
      <c r="K2112" s="35"/>
      <c r="L2112" s="35"/>
      <c r="M2112" s="35"/>
    </row>
    <row r="2113" spans="2:13" x14ac:dyDescent="0.35">
      <c r="B2113" s="32"/>
      <c r="C2113" s="35"/>
      <c r="D2113" s="35"/>
      <c r="E2113" s="35"/>
      <c r="F2113" s="35"/>
      <c r="G2113" s="35"/>
      <c r="H2113" s="35"/>
      <c r="I2113" s="35"/>
      <c r="J2113" s="35"/>
      <c r="K2113" s="35"/>
      <c r="L2113" s="35"/>
      <c r="M2113" s="35"/>
    </row>
    <row r="2114" spans="2:13" x14ac:dyDescent="0.35">
      <c r="B2114" s="32"/>
      <c r="C2114" s="35"/>
      <c r="D2114" s="35"/>
      <c r="E2114" s="35"/>
      <c r="F2114" s="35"/>
      <c r="G2114" s="35"/>
      <c r="H2114" s="35"/>
      <c r="I2114" s="35"/>
      <c r="J2114" s="35"/>
      <c r="K2114" s="35"/>
      <c r="L2114" s="35"/>
      <c r="M2114" s="35"/>
    </row>
    <row r="2115" spans="2:13" x14ac:dyDescent="0.35">
      <c r="B2115" s="32"/>
      <c r="C2115" s="35"/>
      <c r="D2115" s="35"/>
      <c r="E2115" s="35"/>
      <c r="F2115" s="35"/>
      <c r="G2115" s="35"/>
      <c r="H2115" s="35"/>
      <c r="I2115" s="35"/>
      <c r="J2115" s="35"/>
      <c r="K2115" s="35"/>
      <c r="L2115" s="35"/>
      <c r="M2115" s="35"/>
    </row>
    <row r="2116" spans="2:13" x14ac:dyDescent="0.35">
      <c r="B2116" s="32"/>
      <c r="C2116" s="35"/>
      <c r="D2116" s="35"/>
      <c r="E2116" s="35"/>
      <c r="F2116" s="35"/>
      <c r="G2116" s="35"/>
      <c r="H2116" s="35"/>
      <c r="I2116" s="35"/>
      <c r="J2116" s="35"/>
      <c r="K2116" s="35"/>
      <c r="L2116" s="35"/>
      <c r="M2116" s="35"/>
    </row>
    <row r="2117" spans="2:13" x14ac:dyDescent="0.35">
      <c r="B2117" s="32"/>
      <c r="C2117" s="35"/>
      <c r="D2117" s="35"/>
      <c r="E2117" s="35"/>
      <c r="F2117" s="35"/>
      <c r="G2117" s="35"/>
      <c r="H2117" s="35"/>
      <c r="I2117" s="35"/>
      <c r="J2117" s="35"/>
      <c r="K2117" s="35"/>
      <c r="L2117" s="35"/>
      <c r="M2117" s="35"/>
    </row>
    <row r="2118" spans="2:13" x14ac:dyDescent="0.35">
      <c r="B2118" s="32"/>
      <c r="C2118" s="35"/>
      <c r="D2118" s="35"/>
      <c r="E2118" s="35"/>
      <c r="F2118" s="35"/>
      <c r="G2118" s="35"/>
      <c r="H2118" s="35"/>
      <c r="I2118" s="35"/>
      <c r="J2118" s="35"/>
      <c r="K2118" s="35"/>
      <c r="L2118" s="35"/>
      <c r="M2118" s="35"/>
    </row>
    <row r="2119" spans="2:13" x14ac:dyDescent="0.35">
      <c r="B2119" s="32"/>
      <c r="C2119" s="35"/>
      <c r="D2119" s="35"/>
      <c r="E2119" s="35"/>
      <c r="F2119" s="35"/>
      <c r="G2119" s="35"/>
      <c r="H2119" s="35"/>
      <c r="I2119" s="35"/>
      <c r="J2119" s="35"/>
      <c r="K2119" s="35"/>
      <c r="L2119" s="35"/>
      <c r="M2119" s="35"/>
    </row>
    <row r="2120" spans="2:13" x14ac:dyDescent="0.35">
      <c r="B2120" s="32"/>
      <c r="C2120" s="35"/>
      <c r="D2120" s="35"/>
      <c r="E2120" s="35"/>
      <c r="F2120" s="35"/>
      <c r="G2120" s="35"/>
      <c r="H2120" s="35"/>
      <c r="I2120" s="35"/>
      <c r="J2120" s="35"/>
      <c r="K2120" s="35"/>
      <c r="L2120" s="35"/>
      <c r="M2120" s="35"/>
    </row>
    <row r="2121" spans="2:13" x14ac:dyDescent="0.35">
      <c r="B2121" s="32"/>
      <c r="C2121" s="35"/>
      <c r="D2121" s="35"/>
      <c r="E2121" s="35"/>
      <c r="F2121" s="35"/>
      <c r="G2121" s="35"/>
      <c r="H2121" s="35"/>
      <c r="I2121" s="35"/>
      <c r="J2121" s="35"/>
      <c r="K2121" s="35"/>
      <c r="L2121" s="35"/>
      <c r="M2121" s="35"/>
    </row>
    <row r="2122" spans="2:13" x14ac:dyDescent="0.35">
      <c r="B2122" s="32"/>
      <c r="C2122" s="35"/>
      <c r="D2122" s="35"/>
      <c r="E2122" s="35"/>
      <c r="F2122" s="35"/>
      <c r="G2122" s="35"/>
      <c r="H2122" s="35"/>
      <c r="I2122" s="35"/>
      <c r="J2122" s="35"/>
      <c r="K2122" s="35"/>
      <c r="L2122" s="35"/>
      <c r="M2122" s="35"/>
    </row>
    <row r="2123" spans="2:13" x14ac:dyDescent="0.35">
      <c r="B2123" s="32"/>
      <c r="C2123" s="35"/>
      <c r="D2123" s="35"/>
      <c r="E2123" s="35"/>
      <c r="F2123" s="35"/>
      <c r="G2123" s="35"/>
      <c r="H2123" s="35"/>
      <c r="I2123" s="35"/>
      <c r="J2123" s="35"/>
      <c r="K2123" s="35"/>
      <c r="L2123" s="35"/>
      <c r="M2123" s="35"/>
    </row>
    <row r="2124" spans="2:13" x14ac:dyDescent="0.35">
      <c r="B2124" s="32"/>
      <c r="C2124" s="35"/>
      <c r="D2124" s="35"/>
      <c r="E2124" s="35"/>
      <c r="F2124" s="35"/>
      <c r="G2124" s="35"/>
      <c r="H2124" s="35"/>
      <c r="I2124" s="35"/>
      <c r="J2124" s="35"/>
      <c r="K2124" s="35"/>
      <c r="L2124" s="35"/>
      <c r="M2124" s="35"/>
    </row>
    <row r="2125" spans="2:13" x14ac:dyDescent="0.35">
      <c r="B2125" s="32"/>
      <c r="C2125" s="35"/>
      <c r="D2125" s="35"/>
      <c r="E2125" s="35"/>
      <c r="F2125" s="35"/>
      <c r="G2125" s="35"/>
      <c r="H2125" s="35"/>
      <c r="I2125" s="35"/>
      <c r="J2125" s="35"/>
      <c r="K2125" s="35"/>
      <c r="L2125" s="35"/>
      <c r="M2125" s="35"/>
    </row>
    <row r="2126" spans="2:13" x14ac:dyDescent="0.35">
      <c r="B2126" s="32"/>
      <c r="C2126" s="35"/>
      <c r="D2126" s="35"/>
      <c r="E2126" s="35"/>
      <c r="F2126" s="35"/>
      <c r="G2126" s="35"/>
      <c r="H2126" s="35"/>
      <c r="I2126" s="35"/>
      <c r="J2126" s="35"/>
      <c r="K2126" s="35"/>
      <c r="L2126" s="35"/>
      <c r="M2126" s="35"/>
    </row>
    <row r="2127" spans="2:13" x14ac:dyDescent="0.35">
      <c r="B2127" s="32"/>
      <c r="C2127" s="35"/>
      <c r="D2127" s="35"/>
      <c r="E2127" s="35"/>
      <c r="F2127" s="35"/>
      <c r="G2127" s="35"/>
      <c r="H2127" s="35"/>
      <c r="I2127" s="35"/>
      <c r="J2127" s="35"/>
      <c r="K2127" s="35"/>
      <c r="L2127" s="35"/>
      <c r="M2127" s="35"/>
    </row>
    <row r="2128" spans="2:13" x14ac:dyDescent="0.35">
      <c r="B2128" s="32"/>
      <c r="C2128" s="35"/>
      <c r="D2128" s="35"/>
      <c r="E2128" s="35"/>
      <c r="F2128" s="35"/>
      <c r="G2128" s="35"/>
      <c r="H2128" s="35"/>
      <c r="I2128" s="35"/>
      <c r="J2128" s="35"/>
      <c r="K2128" s="35"/>
      <c r="L2128" s="35"/>
      <c r="M2128" s="35"/>
    </row>
    <row r="2129" spans="2:13" x14ac:dyDescent="0.35">
      <c r="B2129" s="32"/>
      <c r="C2129" s="35"/>
      <c r="D2129" s="35"/>
      <c r="E2129" s="35"/>
      <c r="F2129" s="35"/>
      <c r="G2129" s="35"/>
      <c r="H2129" s="35"/>
      <c r="I2129" s="35"/>
      <c r="J2129" s="35"/>
      <c r="K2129" s="35"/>
      <c r="L2129" s="35"/>
      <c r="M2129" s="35"/>
    </row>
    <row r="2130" spans="2:13" x14ac:dyDescent="0.35">
      <c r="B2130" s="32"/>
      <c r="C2130" s="35"/>
      <c r="D2130" s="35"/>
      <c r="E2130" s="35"/>
      <c r="F2130" s="35"/>
      <c r="G2130" s="35"/>
      <c r="H2130" s="35"/>
      <c r="I2130" s="35"/>
      <c r="J2130" s="35"/>
      <c r="K2130" s="35"/>
      <c r="L2130" s="35"/>
      <c r="M2130" s="35"/>
    </row>
    <row r="2131" spans="2:13" x14ac:dyDescent="0.35">
      <c r="B2131" s="32"/>
      <c r="C2131" s="35"/>
      <c r="D2131" s="35"/>
      <c r="E2131" s="35"/>
      <c r="F2131" s="35"/>
      <c r="G2131" s="35"/>
      <c r="H2131" s="35"/>
      <c r="I2131" s="35"/>
      <c r="J2131" s="35"/>
      <c r="K2131" s="35"/>
      <c r="L2131" s="35"/>
      <c r="M2131" s="35"/>
    </row>
    <row r="2132" spans="2:13" x14ac:dyDescent="0.35">
      <c r="B2132" s="32"/>
      <c r="C2132" s="35"/>
      <c r="D2132" s="35"/>
      <c r="E2132" s="35"/>
      <c r="F2132" s="35"/>
      <c r="G2132" s="35"/>
      <c r="H2132" s="35"/>
      <c r="I2132" s="35"/>
      <c r="J2132" s="35"/>
      <c r="K2132" s="35"/>
      <c r="L2132" s="35"/>
      <c r="M2132" s="35"/>
    </row>
    <row r="2133" spans="2:13" x14ac:dyDescent="0.35">
      <c r="B2133" s="32"/>
      <c r="C2133" s="35"/>
      <c r="D2133" s="35"/>
      <c r="E2133" s="35"/>
      <c r="F2133" s="35"/>
      <c r="G2133" s="35"/>
      <c r="H2133" s="35"/>
      <c r="I2133" s="35"/>
      <c r="J2133" s="35"/>
      <c r="K2133" s="35"/>
      <c r="L2133" s="35"/>
      <c r="M2133" s="35"/>
    </row>
    <row r="2134" spans="2:13" x14ac:dyDescent="0.35">
      <c r="B2134" s="32"/>
      <c r="C2134" s="35"/>
      <c r="D2134" s="35"/>
      <c r="E2134" s="35"/>
      <c r="F2134" s="35"/>
      <c r="G2134" s="35"/>
      <c r="H2134" s="35"/>
      <c r="I2134" s="35"/>
      <c r="J2134" s="35"/>
      <c r="K2134" s="35"/>
      <c r="L2134" s="35"/>
      <c r="M2134" s="35"/>
    </row>
    <row r="2135" spans="2:13" x14ac:dyDescent="0.35">
      <c r="B2135" s="32"/>
      <c r="C2135" s="35"/>
      <c r="D2135" s="35"/>
      <c r="E2135" s="35"/>
      <c r="F2135" s="35"/>
      <c r="G2135" s="35"/>
      <c r="H2135" s="35"/>
      <c r="I2135" s="35"/>
      <c r="J2135" s="35"/>
      <c r="K2135" s="35"/>
      <c r="L2135" s="35"/>
      <c r="M2135" s="35"/>
    </row>
    <row r="2136" spans="2:13" x14ac:dyDescent="0.35">
      <c r="B2136" s="32"/>
      <c r="C2136" s="35"/>
      <c r="D2136" s="35"/>
      <c r="E2136" s="35"/>
      <c r="F2136" s="35"/>
      <c r="G2136" s="35"/>
      <c r="H2136" s="35"/>
      <c r="I2136" s="35"/>
      <c r="J2136" s="35"/>
      <c r="K2136" s="35"/>
      <c r="L2136" s="35"/>
      <c r="M2136" s="35"/>
    </row>
    <row r="2137" spans="2:13" x14ac:dyDescent="0.35">
      <c r="B2137" s="32"/>
      <c r="C2137" s="35"/>
      <c r="D2137" s="35"/>
      <c r="E2137" s="35"/>
      <c r="F2137" s="35"/>
      <c r="G2137" s="35"/>
      <c r="H2137" s="35"/>
      <c r="I2137" s="35"/>
      <c r="J2137" s="35"/>
      <c r="K2137" s="35"/>
      <c r="L2137" s="35"/>
      <c r="M2137" s="35"/>
    </row>
    <row r="2138" spans="2:13" x14ac:dyDescent="0.35">
      <c r="B2138" s="32"/>
      <c r="C2138" s="35"/>
      <c r="D2138" s="35"/>
      <c r="E2138" s="35"/>
      <c r="F2138" s="35"/>
      <c r="G2138" s="35"/>
      <c r="H2138" s="35"/>
      <c r="I2138" s="35"/>
      <c r="J2138" s="35"/>
      <c r="K2138" s="35"/>
      <c r="L2138" s="35"/>
      <c r="M2138" s="35"/>
    </row>
    <row r="2139" spans="2:13" x14ac:dyDescent="0.35">
      <c r="B2139" s="32"/>
      <c r="C2139" s="35"/>
      <c r="D2139" s="35"/>
      <c r="E2139" s="35"/>
      <c r="F2139" s="35"/>
      <c r="G2139" s="35"/>
      <c r="H2139" s="35"/>
      <c r="I2139" s="35"/>
      <c r="J2139" s="35"/>
      <c r="K2139" s="35"/>
      <c r="L2139" s="35"/>
      <c r="M2139" s="35"/>
    </row>
    <row r="2140" spans="2:13" x14ac:dyDescent="0.35">
      <c r="B2140" s="32"/>
      <c r="C2140" s="35"/>
      <c r="D2140" s="35"/>
      <c r="E2140" s="35"/>
      <c r="F2140" s="35"/>
      <c r="G2140" s="35"/>
      <c r="H2140" s="35"/>
      <c r="I2140" s="35"/>
      <c r="J2140" s="35"/>
      <c r="K2140" s="35"/>
      <c r="L2140" s="35"/>
      <c r="M2140" s="35"/>
    </row>
    <row r="2141" spans="2:13" x14ac:dyDescent="0.35">
      <c r="B2141" s="32"/>
      <c r="C2141" s="35"/>
      <c r="D2141" s="35"/>
      <c r="E2141" s="35"/>
      <c r="F2141" s="35"/>
      <c r="G2141" s="35"/>
      <c r="H2141" s="35"/>
      <c r="I2141" s="35"/>
      <c r="J2141" s="35"/>
      <c r="K2141" s="35"/>
      <c r="L2141" s="35"/>
      <c r="M2141" s="35"/>
    </row>
    <row r="2142" spans="2:13" x14ac:dyDescent="0.35">
      <c r="B2142" s="32"/>
      <c r="C2142" s="35"/>
      <c r="D2142" s="35"/>
      <c r="E2142" s="35"/>
      <c r="F2142" s="35"/>
      <c r="G2142" s="35"/>
      <c r="H2142" s="35"/>
      <c r="I2142" s="35"/>
      <c r="J2142" s="35"/>
      <c r="K2142" s="35"/>
      <c r="L2142" s="35"/>
      <c r="M2142" s="35"/>
    </row>
    <row r="2143" spans="2:13" x14ac:dyDescent="0.35">
      <c r="B2143" s="32"/>
      <c r="C2143" s="35"/>
      <c r="D2143" s="35"/>
      <c r="E2143" s="35"/>
      <c r="F2143" s="35"/>
      <c r="G2143" s="35"/>
      <c r="H2143" s="35"/>
      <c r="I2143" s="35"/>
      <c r="J2143" s="35"/>
      <c r="K2143" s="35"/>
      <c r="L2143" s="35"/>
      <c r="M2143" s="35"/>
    </row>
    <row r="2144" spans="2:13" x14ac:dyDescent="0.35">
      <c r="B2144" s="32"/>
      <c r="C2144" s="35"/>
      <c r="D2144" s="35"/>
      <c r="E2144" s="35"/>
      <c r="F2144" s="35"/>
      <c r="G2144" s="35"/>
      <c r="H2144" s="35"/>
      <c r="I2144" s="35"/>
      <c r="J2144" s="35"/>
      <c r="K2144" s="35"/>
      <c r="L2144" s="35"/>
      <c r="M2144" s="35"/>
    </row>
    <row r="2145" spans="2:13" x14ac:dyDescent="0.35">
      <c r="B2145" s="32"/>
      <c r="C2145" s="35"/>
      <c r="D2145" s="35"/>
      <c r="E2145" s="35"/>
      <c r="F2145" s="35"/>
      <c r="G2145" s="35"/>
      <c r="H2145" s="35"/>
      <c r="I2145" s="35"/>
      <c r="J2145" s="35"/>
      <c r="K2145" s="35"/>
      <c r="L2145" s="35"/>
      <c r="M2145" s="35"/>
    </row>
    <row r="2146" spans="2:13" x14ac:dyDescent="0.35">
      <c r="B2146" s="32"/>
      <c r="C2146" s="35"/>
      <c r="D2146" s="35"/>
      <c r="E2146" s="35"/>
      <c r="F2146" s="35"/>
      <c r="G2146" s="35"/>
      <c r="H2146" s="35"/>
      <c r="I2146" s="35"/>
      <c r="J2146" s="35"/>
      <c r="K2146" s="35"/>
      <c r="L2146" s="35"/>
      <c r="M2146" s="35"/>
    </row>
    <row r="2147" spans="2:13" x14ac:dyDescent="0.35">
      <c r="B2147" s="32"/>
      <c r="C2147" s="35"/>
      <c r="D2147" s="35"/>
      <c r="E2147" s="35"/>
      <c r="F2147" s="35"/>
      <c r="G2147" s="35"/>
      <c r="H2147" s="35"/>
      <c r="I2147" s="35"/>
      <c r="J2147" s="35"/>
      <c r="K2147" s="35"/>
      <c r="L2147" s="35"/>
      <c r="M2147" s="35"/>
    </row>
    <row r="2148" spans="2:13" x14ac:dyDescent="0.35">
      <c r="B2148" s="32"/>
      <c r="C2148" s="35"/>
      <c r="D2148" s="35"/>
      <c r="E2148" s="35"/>
      <c r="F2148" s="35"/>
      <c r="G2148" s="35"/>
      <c r="H2148" s="35"/>
      <c r="I2148" s="35"/>
      <c r="J2148" s="35"/>
      <c r="K2148" s="35"/>
      <c r="L2148" s="35"/>
      <c r="M2148" s="35"/>
    </row>
    <row r="2149" spans="2:13" x14ac:dyDescent="0.35">
      <c r="B2149" s="32"/>
      <c r="C2149" s="35"/>
      <c r="D2149" s="35"/>
      <c r="E2149" s="35"/>
      <c r="F2149" s="35"/>
      <c r="G2149" s="35"/>
      <c r="H2149" s="35"/>
      <c r="I2149" s="35"/>
      <c r="J2149" s="35"/>
      <c r="K2149" s="35"/>
      <c r="L2149" s="35"/>
      <c r="M2149" s="35"/>
    </row>
    <row r="2150" spans="2:13" x14ac:dyDescent="0.35">
      <c r="B2150" s="32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35"/>
    </row>
    <row r="2151" spans="2:13" x14ac:dyDescent="0.35">
      <c r="B2151" s="32"/>
      <c r="C2151" s="35"/>
      <c r="D2151" s="35"/>
      <c r="E2151" s="35"/>
      <c r="F2151" s="35"/>
      <c r="G2151" s="35"/>
      <c r="H2151" s="35"/>
      <c r="I2151" s="35"/>
      <c r="J2151" s="35"/>
      <c r="K2151" s="35"/>
      <c r="L2151" s="35"/>
      <c r="M2151" s="35"/>
    </row>
    <row r="2152" spans="2:13" x14ac:dyDescent="0.35">
      <c r="B2152" s="32"/>
      <c r="C2152" s="35"/>
      <c r="D2152" s="35"/>
      <c r="E2152" s="35"/>
      <c r="F2152" s="35"/>
      <c r="G2152" s="35"/>
      <c r="H2152" s="35"/>
      <c r="I2152" s="35"/>
      <c r="J2152" s="35"/>
      <c r="K2152" s="35"/>
      <c r="L2152" s="35"/>
      <c r="M2152" s="35"/>
    </row>
    <row r="2153" spans="2:13" x14ac:dyDescent="0.35">
      <c r="B2153" s="32"/>
      <c r="C2153" s="35"/>
      <c r="D2153" s="35"/>
      <c r="E2153" s="35"/>
      <c r="F2153" s="35"/>
      <c r="G2153" s="35"/>
      <c r="H2153" s="35"/>
      <c r="I2153" s="35"/>
      <c r="J2153" s="35"/>
      <c r="K2153" s="35"/>
      <c r="L2153" s="35"/>
      <c r="M2153" s="35"/>
    </row>
    <row r="2154" spans="2:13" x14ac:dyDescent="0.35">
      <c r="B2154" s="32"/>
      <c r="C2154" s="35"/>
      <c r="D2154" s="35"/>
      <c r="E2154" s="35"/>
      <c r="F2154" s="35"/>
      <c r="G2154" s="35"/>
      <c r="H2154" s="35"/>
      <c r="I2154" s="35"/>
      <c r="J2154" s="35"/>
      <c r="K2154" s="35"/>
      <c r="L2154" s="35"/>
      <c r="M2154" s="35"/>
    </row>
    <row r="2155" spans="2:13" x14ac:dyDescent="0.35">
      <c r="B2155" s="32"/>
      <c r="C2155" s="35"/>
      <c r="D2155" s="35"/>
      <c r="E2155" s="35"/>
      <c r="F2155" s="35"/>
      <c r="G2155" s="35"/>
      <c r="H2155" s="35"/>
      <c r="I2155" s="35"/>
      <c r="J2155" s="35"/>
      <c r="K2155" s="35"/>
      <c r="L2155" s="35"/>
      <c r="M2155" s="35"/>
    </row>
    <row r="2156" spans="2:13" x14ac:dyDescent="0.35">
      <c r="B2156" s="32"/>
      <c r="C2156" s="35"/>
      <c r="D2156" s="35"/>
      <c r="E2156" s="35"/>
      <c r="F2156" s="35"/>
      <c r="G2156" s="35"/>
      <c r="H2156" s="35"/>
      <c r="I2156" s="35"/>
      <c r="J2156" s="35"/>
      <c r="K2156" s="35"/>
      <c r="L2156" s="35"/>
      <c r="M2156" s="35"/>
    </row>
    <row r="2157" spans="2:13" x14ac:dyDescent="0.35">
      <c r="B2157" s="32"/>
      <c r="C2157" s="35"/>
      <c r="D2157" s="35"/>
      <c r="E2157" s="35"/>
      <c r="F2157" s="35"/>
      <c r="G2157" s="35"/>
      <c r="H2157" s="35"/>
      <c r="I2157" s="35"/>
      <c r="J2157" s="35"/>
      <c r="K2157" s="35"/>
      <c r="L2157" s="35"/>
      <c r="M2157" s="35"/>
    </row>
    <row r="2158" spans="2:13" x14ac:dyDescent="0.35">
      <c r="B2158" s="32"/>
      <c r="C2158" s="35"/>
      <c r="D2158" s="35"/>
      <c r="E2158" s="35"/>
      <c r="F2158" s="35"/>
      <c r="G2158" s="35"/>
      <c r="H2158" s="35"/>
      <c r="I2158" s="35"/>
      <c r="J2158" s="35"/>
      <c r="K2158" s="35"/>
      <c r="L2158" s="35"/>
      <c r="M2158" s="35"/>
    </row>
    <row r="2159" spans="2:13" x14ac:dyDescent="0.35">
      <c r="B2159" s="32"/>
      <c r="C2159" s="35"/>
      <c r="D2159" s="35"/>
      <c r="E2159" s="35"/>
      <c r="F2159" s="35"/>
      <c r="G2159" s="35"/>
      <c r="H2159" s="35"/>
      <c r="I2159" s="35"/>
      <c r="J2159" s="35"/>
      <c r="K2159" s="35"/>
      <c r="L2159" s="35"/>
      <c r="M2159" s="35"/>
    </row>
    <row r="2160" spans="2:13" x14ac:dyDescent="0.35">
      <c r="B2160" s="32"/>
      <c r="C2160" s="35"/>
      <c r="D2160" s="35"/>
      <c r="E2160" s="35"/>
      <c r="F2160" s="35"/>
      <c r="G2160" s="35"/>
      <c r="H2160" s="35"/>
      <c r="I2160" s="35"/>
      <c r="J2160" s="35"/>
      <c r="K2160" s="35"/>
      <c r="L2160" s="35"/>
      <c r="M2160" s="35"/>
    </row>
    <row r="2161" spans="2:13" x14ac:dyDescent="0.35">
      <c r="B2161" s="32"/>
      <c r="C2161" s="35"/>
      <c r="D2161" s="35"/>
      <c r="E2161" s="35"/>
      <c r="F2161" s="35"/>
      <c r="G2161" s="35"/>
      <c r="H2161" s="35"/>
      <c r="I2161" s="35"/>
      <c r="J2161" s="35"/>
      <c r="K2161" s="35"/>
      <c r="L2161" s="35"/>
      <c r="M2161" s="35"/>
    </row>
    <row r="2162" spans="2:13" x14ac:dyDescent="0.35">
      <c r="B2162" s="32"/>
      <c r="C2162" s="35"/>
      <c r="D2162" s="35"/>
      <c r="E2162" s="35"/>
      <c r="F2162" s="35"/>
      <c r="G2162" s="35"/>
      <c r="H2162" s="35"/>
      <c r="I2162" s="35"/>
      <c r="J2162" s="35"/>
      <c r="K2162" s="35"/>
      <c r="L2162" s="35"/>
      <c r="M2162" s="35"/>
    </row>
    <row r="2163" spans="2:13" x14ac:dyDescent="0.35">
      <c r="B2163" s="32"/>
      <c r="C2163" s="35"/>
      <c r="D2163" s="35"/>
      <c r="E2163" s="35"/>
      <c r="F2163" s="35"/>
      <c r="G2163" s="35"/>
      <c r="H2163" s="35"/>
      <c r="I2163" s="35"/>
      <c r="J2163" s="35"/>
      <c r="K2163" s="35"/>
      <c r="L2163" s="35"/>
      <c r="M2163" s="35"/>
    </row>
    <row r="2164" spans="2:13" x14ac:dyDescent="0.35">
      <c r="B2164" s="32"/>
      <c r="C2164" s="35"/>
      <c r="D2164" s="35"/>
      <c r="E2164" s="35"/>
      <c r="F2164" s="35"/>
      <c r="G2164" s="35"/>
      <c r="H2164" s="35"/>
      <c r="I2164" s="35"/>
      <c r="J2164" s="35"/>
      <c r="K2164" s="35"/>
      <c r="L2164" s="35"/>
      <c r="M2164" s="35"/>
    </row>
    <row r="2165" spans="2:13" x14ac:dyDescent="0.35">
      <c r="B2165" s="32"/>
      <c r="C2165" s="35"/>
      <c r="D2165" s="35"/>
      <c r="E2165" s="35"/>
      <c r="F2165" s="35"/>
      <c r="G2165" s="35"/>
      <c r="H2165" s="35"/>
      <c r="I2165" s="35"/>
      <c r="J2165" s="35"/>
      <c r="K2165" s="35"/>
      <c r="L2165" s="35"/>
      <c r="M2165" s="35"/>
    </row>
    <row r="2166" spans="2:13" x14ac:dyDescent="0.35">
      <c r="B2166" s="32"/>
      <c r="C2166" s="35"/>
      <c r="D2166" s="35"/>
      <c r="E2166" s="35"/>
      <c r="F2166" s="35"/>
      <c r="G2166" s="35"/>
      <c r="H2166" s="35"/>
      <c r="I2166" s="35"/>
      <c r="J2166" s="35"/>
      <c r="K2166" s="35"/>
      <c r="L2166" s="35"/>
      <c r="M2166" s="35"/>
    </row>
    <row r="2167" spans="2:13" x14ac:dyDescent="0.35">
      <c r="B2167" s="32"/>
      <c r="C2167" s="35"/>
      <c r="D2167" s="35"/>
      <c r="E2167" s="35"/>
      <c r="F2167" s="35"/>
      <c r="G2167" s="35"/>
      <c r="H2167" s="35"/>
      <c r="I2167" s="35"/>
      <c r="J2167" s="35"/>
      <c r="K2167" s="35"/>
      <c r="L2167" s="35"/>
      <c r="M2167" s="35"/>
    </row>
    <row r="2168" spans="2:13" x14ac:dyDescent="0.35">
      <c r="B2168" s="32"/>
      <c r="C2168" s="35"/>
      <c r="D2168" s="35"/>
      <c r="E2168" s="35"/>
      <c r="F2168" s="35"/>
      <c r="G2168" s="35"/>
      <c r="H2168" s="35"/>
      <c r="I2168" s="35"/>
      <c r="J2168" s="35"/>
      <c r="K2168" s="35"/>
      <c r="L2168" s="35"/>
      <c r="M2168" s="35"/>
    </row>
    <row r="2169" spans="2:13" x14ac:dyDescent="0.35">
      <c r="B2169" s="32"/>
      <c r="C2169" s="35"/>
      <c r="D2169" s="35"/>
      <c r="E2169" s="35"/>
      <c r="F2169" s="35"/>
      <c r="G2169" s="35"/>
      <c r="H2169" s="35"/>
      <c r="I2169" s="35"/>
      <c r="J2169" s="35"/>
      <c r="K2169" s="35"/>
      <c r="L2169" s="35"/>
      <c r="M2169" s="35"/>
    </row>
    <row r="2170" spans="2:13" x14ac:dyDescent="0.35">
      <c r="B2170" s="32"/>
      <c r="C2170" s="35"/>
      <c r="D2170" s="35"/>
      <c r="E2170" s="35"/>
      <c r="F2170" s="35"/>
      <c r="G2170" s="35"/>
      <c r="H2170" s="35"/>
      <c r="I2170" s="35"/>
      <c r="J2170" s="35"/>
      <c r="K2170" s="35"/>
      <c r="L2170" s="35"/>
      <c r="M2170" s="35"/>
    </row>
    <row r="2171" spans="2:13" x14ac:dyDescent="0.35">
      <c r="B2171" s="32"/>
      <c r="C2171" s="35"/>
      <c r="D2171" s="35"/>
      <c r="E2171" s="35"/>
      <c r="F2171" s="35"/>
      <c r="G2171" s="35"/>
      <c r="H2171" s="35"/>
      <c r="I2171" s="35"/>
      <c r="J2171" s="35"/>
      <c r="K2171" s="35"/>
      <c r="L2171" s="35"/>
      <c r="M2171" s="35"/>
    </row>
    <row r="2172" spans="2:13" x14ac:dyDescent="0.35">
      <c r="B2172" s="32"/>
      <c r="C2172" s="35"/>
      <c r="D2172" s="35"/>
      <c r="E2172" s="35"/>
      <c r="F2172" s="35"/>
      <c r="G2172" s="35"/>
      <c r="H2172" s="35"/>
      <c r="I2172" s="35"/>
      <c r="J2172" s="35"/>
      <c r="K2172" s="35"/>
      <c r="L2172" s="35"/>
      <c r="M2172" s="35"/>
    </row>
    <row r="2173" spans="2:13" x14ac:dyDescent="0.35">
      <c r="B2173" s="32"/>
      <c r="C2173" s="35"/>
      <c r="D2173" s="35"/>
      <c r="E2173" s="35"/>
      <c r="F2173" s="35"/>
      <c r="G2173" s="35"/>
      <c r="H2173" s="35"/>
      <c r="I2173" s="35"/>
      <c r="J2173" s="35"/>
      <c r="K2173" s="35"/>
      <c r="L2173" s="35"/>
      <c r="M2173" s="35"/>
    </row>
    <row r="2174" spans="2:13" x14ac:dyDescent="0.35">
      <c r="B2174" s="32"/>
      <c r="C2174" s="35"/>
      <c r="D2174" s="35"/>
      <c r="E2174" s="35"/>
      <c r="F2174" s="35"/>
      <c r="G2174" s="35"/>
      <c r="H2174" s="35"/>
      <c r="I2174" s="35"/>
      <c r="J2174" s="35"/>
      <c r="K2174" s="35"/>
      <c r="L2174" s="35"/>
      <c r="M2174" s="35"/>
    </row>
    <row r="2175" spans="2:13" x14ac:dyDescent="0.35">
      <c r="B2175" s="32"/>
      <c r="C2175" s="35"/>
      <c r="D2175" s="35"/>
      <c r="E2175" s="35"/>
      <c r="F2175" s="35"/>
      <c r="G2175" s="35"/>
      <c r="H2175" s="35"/>
      <c r="I2175" s="35"/>
      <c r="J2175" s="35"/>
      <c r="K2175" s="35"/>
      <c r="L2175" s="35"/>
      <c r="M2175" s="35"/>
    </row>
    <row r="2176" spans="2:13" x14ac:dyDescent="0.35">
      <c r="B2176" s="32"/>
      <c r="C2176" s="35"/>
      <c r="D2176" s="35"/>
      <c r="E2176" s="35"/>
      <c r="F2176" s="35"/>
      <c r="G2176" s="35"/>
      <c r="H2176" s="35"/>
      <c r="I2176" s="35"/>
      <c r="J2176" s="35"/>
      <c r="K2176" s="35"/>
      <c r="L2176" s="35"/>
      <c r="M2176" s="35"/>
    </row>
    <row r="2177" spans="2:13" x14ac:dyDescent="0.35">
      <c r="B2177" s="32"/>
      <c r="C2177" s="35"/>
      <c r="D2177" s="35"/>
      <c r="E2177" s="35"/>
      <c r="F2177" s="35"/>
      <c r="G2177" s="35"/>
      <c r="H2177" s="35"/>
      <c r="I2177" s="35"/>
      <c r="J2177" s="35"/>
      <c r="K2177" s="35"/>
      <c r="L2177" s="35"/>
      <c r="M2177" s="35"/>
    </row>
    <row r="2178" spans="2:13" x14ac:dyDescent="0.35">
      <c r="B2178" s="32"/>
      <c r="C2178" s="35"/>
      <c r="D2178" s="35"/>
      <c r="E2178" s="35"/>
      <c r="F2178" s="35"/>
      <c r="G2178" s="35"/>
      <c r="H2178" s="35"/>
      <c r="I2178" s="35"/>
      <c r="J2178" s="35"/>
      <c r="K2178" s="35"/>
      <c r="L2178" s="35"/>
      <c r="M2178" s="35"/>
    </row>
    <row r="2179" spans="2:13" x14ac:dyDescent="0.35">
      <c r="B2179" s="32"/>
      <c r="C2179" s="35"/>
      <c r="D2179" s="35"/>
      <c r="E2179" s="35"/>
      <c r="F2179" s="35"/>
      <c r="G2179" s="35"/>
      <c r="H2179" s="35"/>
      <c r="I2179" s="35"/>
      <c r="J2179" s="35"/>
      <c r="K2179" s="35"/>
      <c r="L2179" s="35"/>
      <c r="M2179" s="35"/>
    </row>
    <row r="2180" spans="2:13" x14ac:dyDescent="0.35">
      <c r="B2180" s="32"/>
      <c r="C2180" s="35"/>
      <c r="D2180" s="35"/>
      <c r="E2180" s="35"/>
      <c r="F2180" s="35"/>
      <c r="G2180" s="35"/>
      <c r="H2180" s="35"/>
      <c r="I2180" s="35"/>
      <c r="J2180" s="35"/>
      <c r="K2180" s="35"/>
      <c r="L2180" s="35"/>
      <c r="M2180" s="35"/>
    </row>
    <row r="2181" spans="2:13" x14ac:dyDescent="0.35">
      <c r="B2181" s="32"/>
      <c r="C2181" s="35"/>
      <c r="D2181" s="35"/>
      <c r="E2181" s="35"/>
      <c r="F2181" s="35"/>
      <c r="G2181" s="35"/>
      <c r="H2181" s="35"/>
      <c r="I2181" s="35"/>
      <c r="J2181" s="35"/>
      <c r="K2181" s="35"/>
      <c r="L2181" s="35"/>
      <c r="M2181" s="35"/>
    </row>
    <row r="2182" spans="2:13" x14ac:dyDescent="0.35">
      <c r="B2182" s="32"/>
      <c r="C2182" s="35"/>
      <c r="D2182" s="35"/>
      <c r="E2182" s="35"/>
      <c r="F2182" s="35"/>
      <c r="G2182" s="35"/>
      <c r="H2182" s="35"/>
      <c r="I2182" s="35"/>
      <c r="J2182" s="35"/>
      <c r="K2182" s="35"/>
      <c r="L2182" s="35"/>
      <c r="M2182" s="35"/>
    </row>
    <row r="2183" spans="2:13" x14ac:dyDescent="0.35">
      <c r="B2183" s="32"/>
      <c r="C2183" s="35"/>
      <c r="D2183" s="35"/>
      <c r="E2183" s="35"/>
      <c r="F2183" s="35"/>
      <c r="G2183" s="35"/>
      <c r="H2183" s="35"/>
      <c r="I2183" s="35"/>
      <c r="J2183" s="35"/>
      <c r="K2183" s="35"/>
      <c r="L2183" s="35"/>
      <c r="M2183" s="35"/>
    </row>
    <row r="2184" spans="2:13" x14ac:dyDescent="0.35">
      <c r="B2184" s="32"/>
      <c r="C2184" s="35"/>
      <c r="D2184" s="35"/>
      <c r="E2184" s="35"/>
      <c r="F2184" s="35"/>
      <c r="G2184" s="35"/>
      <c r="H2184" s="35"/>
      <c r="I2184" s="35"/>
      <c r="J2184" s="35"/>
      <c r="K2184" s="35"/>
      <c r="L2184" s="35"/>
      <c r="M2184" s="35"/>
    </row>
    <row r="2185" spans="2:13" x14ac:dyDescent="0.35">
      <c r="B2185" s="32"/>
      <c r="C2185" s="35"/>
      <c r="D2185" s="35"/>
      <c r="E2185" s="35"/>
      <c r="F2185" s="35"/>
      <c r="G2185" s="35"/>
      <c r="H2185" s="35"/>
      <c r="I2185" s="35"/>
      <c r="J2185" s="35"/>
      <c r="K2185" s="35"/>
      <c r="L2185" s="35"/>
      <c r="M2185" s="35"/>
    </row>
    <row r="2186" spans="2:13" x14ac:dyDescent="0.35">
      <c r="B2186" s="32"/>
      <c r="C2186" s="35"/>
      <c r="D2186" s="35"/>
      <c r="E2186" s="35"/>
      <c r="F2186" s="35"/>
      <c r="G2186" s="35"/>
      <c r="H2186" s="35"/>
      <c r="I2186" s="35"/>
      <c r="J2186" s="35"/>
      <c r="K2186" s="35"/>
      <c r="L2186" s="35"/>
      <c r="M2186" s="35"/>
    </row>
    <row r="2187" spans="2:13" x14ac:dyDescent="0.35">
      <c r="B2187" s="32"/>
      <c r="C2187" s="35"/>
      <c r="D2187" s="35"/>
      <c r="E2187" s="35"/>
      <c r="F2187" s="35"/>
      <c r="G2187" s="35"/>
      <c r="H2187" s="35"/>
      <c r="I2187" s="35"/>
      <c r="J2187" s="35"/>
      <c r="K2187" s="35"/>
      <c r="L2187" s="35"/>
      <c r="M2187" s="35"/>
    </row>
    <row r="2188" spans="2:13" x14ac:dyDescent="0.35">
      <c r="B2188" s="32"/>
      <c r="C2188" s="35"/>
      <c r="D2188" s="35"/>
      <c r="E2188" s="35"/>
      <c r="F2188" s="35"/>
      <c r="G2188" s="35"/>
      <c r="H2188" s="35"/>
      <c r="I2188" s="35"/>
      <c r="J2188" s="35"/>
      <c r="K2188" s="35"/>
      <c r="L2188" s="35"/>
      <c r="M2188" s="35"/>
    </row>
    <row r="2189" spans="2:13" x14ac:dyDescent="0.35">
      <c r="B2189" s="32"/>
      <c r="C2189" s="35"/>
      <c r="D2189" s="35"/>
      <c r="E2189" s="35"/>
      <c r="F2189" s="35"/>
      <c r="G2189" s="35"/>
      <c r="H2189" s="35"/>
      <c r="I2189" s="35"/>
      <c r="J2189" s="35"/>
      <c r="K2189" s="35"/>
      <c r="L2189" s="35"/>
      <c r="M2189" s="35"/>
    </row>
    <row r="2190" spans="2:13" x14ac:dyDescent="0.35">
      <c r="B2190" s="32"/>
      <c r="C2190" s="35"/>
      <c r="D2190" s="35"/>
      <c r="E2190" s="35"/>
      <c r="F2190" s="35"/>
      <c r="G2190" s="35"/>
      <c r="H2190" s="35"/>
      <c r="I2190" s="35"/>
      <c r="J2190" s="35"/>
      <c r="K2190" s="35"/>
      <c r="L2190" s="35"/>
      <c r="M2190" s="35"/>
    </row>
    <row r="2191" spans="2:13" x14ac:dyDescent="0.35">
      <c r="B2191" s="32"/>
      <c r="C2191" s="35"/>
      <c r="D2191" s="35"/>
      <c r="E2191" s="35"/>
      <c r="F2191" s="35"/>
      <c r="G2191" s="35"/>
      <c r="H2191" s="35"/>
      <c r="I2191" s="35"/>
      <c r="J2191" s="35"/>
      <c r="K2191" s="35"/>
      <c r="L2191" s="35"/>
      <c r="M2191" s="35"/>
    </row>
    <row r="2192" spans="2:13" x14ac:dyDescent="0.35">
      <c r="B2192" s="32"/>
      <c r="C2192" s="35"/>
      <c r="D2192" s="35"/>
      <c r="E2192" s="35"/>
      <c r="F2192" s="35"/>
      <c r="G2192" s="35"/>
      <c r="H2192" s="35"/>
      <c r="I2192" s="35"/>
      <c r="J2192" s="35"/>
      <c r="K2192" s="35"/>
      <c r="L2192" s="35"/>
      <c r="M2192" s="35"/>
    </row>
    <row r="2193" spans="2:13" x14ac:dyDescent="0.35">
      <c r="B2193" s="32"/>
      <c r="C2193" s="35"/>
      <c r="D2193" s="35"/>
      <c r="E2193" s="35"/>
      <c r="F2193" s="35"/>
      <c r="G2193" s="35"/>
      <c r="H2193" s="35"/>
      <c r="I2193" s="35"/>
      <c r="J2193" s="35"/>
      <c r="K2193" s="35"/>
      <c r="L2193" s="35"/>
      <c r="M2193" s="35"/>
    </row>
    <row r="2194" spans="2:13" x14ac:dyDescent="0.35">
      <c r="B2194" s="32"/>
      <c r="C2194" s="35"/>
      <c r="D2194" s="35"/>
      <c r="E2194" s="35"/>
      <c r="F2194" s="35"/>
      <c r="G2194" s="35"/>
      <c r="H2194" s="35"/>
      <c r="I2194" s="35"/>
      <c r="J2194" s="35"/>
      <c r="K2194" s="35"/>
      <c r="L2194" s="35"/>
      <c r="M2194" s="35"/>
    </row>
    <row r="2195" spans="2:13" x14ac:dyDescent="0.35">
      <c r="B2195" s="32"/>
      <c r="C2195" s="35"/>
      <c r="D2195" s="35"/>
      <c r="E2195" s="35"/>
      <c r="F2195" s="35"/>
      <c r="G2195" s="35"/>
      <c r="H2195" s="35"/>
      <c r="I2195" s="35"/>
      <c r="J2195" s="35"/>
      <c r="K2195" s="35"/>
      <c r="L2195" s="35"/>
      <c r="M2195" s="35"/>
    </row>
    <row r="2196" spans="2:13" x14ac:dyDescent="0.35">
      <c r="B2196" s="32"/>
      <c r="C2196" s="35"/>
      <c r="D2196" s="35"/>
      <c r="E2196" s="35"/>
      <c r="F2196" s="35"/>
      <c r="G2196" s="35"/>
      <c r="H2196" s="35"/>
      <c r="I2196" s="35"/>
      <c r="J2196" s="35"/>
      <c r="K2196" s="35"/>
      <c r="L2196" s="35"/>
      <c r="M2196" s="35"/>
    </row>
    <row r="2197" spans="2:13" x14ac:dyDescent="0.35">
      <c r="B2197" s="32"/>
      <c r="C2197" s="35"/>
      <c r="D2197" s="35"/>
      <c r="E2197" s="35"/>
      <c r="F2197" s="35"/>
      <c r="G2197" s="35"/>
      <c r="H2197" s="35"/>
      <c r="I2197" s="35"/>
      <c r="J2197" s="35"/>
      <c r="K2197" s="35"/>
      <c r="L2197" s="35"/>
      <c r="M2197" s="35"/>
    </row>
    <row r="2198" spans="2:13" x14ac:dyDescent="0.35">
      <c r="B2198" s="32"/>
      <c r="C2198" s="35"/>
      <c r="D2198" s="35"/>
      <c r="E2198" s="35"/>
      <c r="F2198" s="35"/>
      <c r="G2198" s="35"/>
      <c r="H2198" s="35"/>
      <c r="I2198" s="35"/>
      <c r="J2198" s="35"/>
      <c r="K2198" s="35"/>
      <c r="L2198" s="35"/>
      <c r="M2198" s="35"/>
    </row>
    <row r="2199" spans="2:13" x14ac:dyDescent="0.35">
      <c r="B2199" s="32"/>
      <c r="C2199" s="35"/>
      <c r="D2199" s="35"/>
      <c r="E2199" s="35"/>
      <c r="F2199" s="35"/>
      <c r="G2199" s="35"/>
      <c r="H2199" s="35"/>
      <c r="I2199" s="35"/>
      <c r="J2199" s="35"/>
      <c r="K2199" s="35"/>
      <c r="L2199" s="35"/>
      <c r="M2199" s="35"/>
    </row>
    <row r="2200" spans="2:13" x14ac:dyDescent="0.35">
      <c r="B2200" s="32"/>
      <c r="C2200" s="35"/>
      <c r="D2200" s="35"/>
      <c r="E2200" s="35"/>
      <c r="F2200" s="35"/>
      <c r="G2200" s="35"/>
      <c r="H2200" s="35"/>
      <c r="I2200" s="35"/>
      <c r="J2200" s="35"/>
      <c r="K2200" s="35"/>
      <c r="L2200" s="35"/>
      <c r="M2200" s="35"/>
    </row>
    <row r="2201" spans="2:13" x14ac:dyDescent="0.35">
      <c r="B2201" s="32"/>
      <c r="C2201" s="35"/>
      <c r="D2201" s="35"/>
      <c r="E2201" s="35"/>
      <c r="F2201" s="35"/>
      <c r="G2201" s="35"/>
      <c r="H2201" s="35"/>
      <c r="I2201" s="35"/>
      <c r="J2201" s="35"/>
      <c r="K2201" s="35"/>
      <c r="L2201" s="35"/>
      <c r="M2201" s="35"/>
    </row>
    <row r="2202" spans="2:13" x14ac:dyDescent="0.35">
      <c r="B2202" s="32"/>
      <c r="C2202" s="35"/>
      <c r="D2202" s="35"/>
      <c r="E2202" s="35"/>
      <c r="F2202" s="35"/>
      <c r="G2202" s="35"/>
      <c r="H2202" s="35"/>
      <c r="I2202" s="35"/>
      <c r="J2202" s="35"/>
      <c r="K2202" s="35"/>
      <c r="L2202" s="35"/>
      <c r="M2202" s="35"/>
    </row>
    <row r="2203" spans="2:13" x14ac:dyDescent="0.35">
      <c r="B2203" s="32"/>
      <c r="C2203" s="35"/>
      <c r="D2203" s="35"/>
      <c r="E2203" s="35"/>
      <c r="F2203" s="35"/>
      <c r="G2203" s="35"/>
      <c r="H2203" s="35"/>
      <c r="I2203" s="35"/>
      <c r="J2203" s="35"/>
      <c r="K2203" s="35"/>
      <c r="L2203" s="35"/>
      <c r="M2203" s="35"/>
    </row>
    <row r="2204" spans="2:13" x14ac:dyDescent="0.35">
      <c r="B2204" s="32"/>
      <c r="C2204" s="35"/>
      <c r="D2204" s="35"/>
      <c r="E2204" s="35"/>
      <c r="F2204" s="35"/>
      <c r="G2204" s="35"/>
      <c r="H2204" s="35"/>
      <c r="I2204" s="35"/>
      <c r="J2204" s="35"/>
      <c r="K2204" s="35"/>
      <c r="L2204" s="35"/>
      <c r="M2204" s="35"/>
    </row>
    <row r="2205" spans="2:13" x14ac:dyDescent="0.35">
      <c r="B2205" s="32"/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35"/>
    </row>
    <row r="2206" spans="2:13" x14ac:dyDescent="0.35">
      <c r="B2206" s="32"/>
      <c r="C2206" s="35"/>
      <c r="D2206" s="35"/>
      <c r="E2206" s="35"/>
      <c r="F2206" s="35"/>
      <c r="G2206" s="35"/>
      <c r="H2206" s="35"/>
      <c r="I2206" s="35"/>
      <c r="J2206" s="35"/>
      <c r="K2206" s="35"/>
      <c r="L2206" s="35"/>
      <c r="M2206" s="35"/>
    </row>
    <row r="2207" spans="2:13" x14ac:dyDescent="0.35">
      <c r="B2207" s="32"/>
      <c r="C2207" s="35"/>
      <c r="D2207" s="35"/>
      <c r="E2207" s="35"/>
      <c r="F2207" s="35"/>
      <c r="G2207" s="35"/>
      <c r="H2207" s="35"/>
      <c r="I2207" s="35"/>
      <c r="J2207" s="35"/>
      <c r="K2207" s="35"/>
      <c r="L2207" s="35"/>
      <c r="M2207" s="35"/>
    </row>
    <row r="2208" spans="2:13" x14ac:dyDescent="0.35">
      <c r="B2208" s="32"/>
      <c r="C2208" s="35"/>
      <c r="D2208" s="35"/>
      <c r="E2208" s="35"/>
      <c r="F2208" s="35"/>
      <c r="G2208" s="35"/>
      <c r="H2208" s="35"/>
      <c r="I2208" s="35"/>
      <c r="J2208" s="35"/>
      <c r="K2208" s="35"/>
      <c r="L2208" s="35"/>
      <c r="M2208" s="35"/>
    </row>
    <row r="2209" spans="2:13" x14ac:dyDescent="0.35">
      <c r="B2209" s="32"/>
      <c r="C2209" s="35"/>
      <c r="D2209" s="35"/>
      <c r="E2209" s="35"/>
      <c r="F2209" s="35"/>
      <c r="G2209" s="35"/>
      <c r="H2209" s="35"/>
      <c r="I2209" s="35"/>
      <c r="J2209" s="35"/>
      <c r="K2209" s="35"/>
      <c r="L2209" s="35"/>
      <c r="M2209" s="35"/>
    </row>
    <row r="2210" spans="2:13" x14ac:dyDescent="0.35">
      <c r="B2210" s="32"/>
      <c r="C2210" s="35"/>
      <c r="D2210" s="35"/>
      <c r="E2210" s="35"/>
      <c r="F2210" s="35"/>
      <c r="G2210" s="35"/>
      <c r="H2210" s="35"/>
      <c r="I2210" s="35"/>
      <c r="J2210" s="35"/>
      <c r="K2210" s="35"/>
      <c r="L2210" s="35"/>
      <c r="M2210" s="35"/>
    </row>
    <row r="2211" spans="2:13" x14ac:dyDescent="0.35">
      <c r="B2211" s="32"/>
      <c r="C2211" s="35"/>
      <c r="D2211" s="35"/>
      <c r="E2211" s="35"/>
      <c r="F2211" s="35"/>
      <c r="G2211" s="35"/>
      <c r="H2211" s="35"/>
      <c r="I2211" s="35"/>
      <c r="J2211" s="35"/>
      <c r="K2211" s="35"/>
      <c r="L2211" s="35"/>
      <c r="M2211" s="35"/>
    </row>
    <row r="2212" spans="2:13" x14ac:dyDescent="0.35">
      <c r="B2212" s="32"/>
      <c r="C2212" s="35"/>
      <c r="D2212" s="35"/>
      <c r="E2212" s="35"/>
      <c r="F2212" s="35"/>
      <c r="G2212" s="35"/>
      <c r="H2212" s="35"/>
      <c r="I2212" s="35"/>
      <c r="J2212" s="35"/>
      <c r="K2212" s="35"/>
      <c r="L2212" s="35"/>
      <c r="M2212" s="35"/>
    </row>
    <row r="2213" spans="2:13" x14ac:dyDescent="0.35">
      <c r="B2213" s="32"/>
      <c r="C2213" s="35"/>
      <c r="D2213" s="35"/>
      <c r="E2213" s="35"/>
      <c r="F2213" s="35"/>
      <c r="G2213" s="35"/>
      <c r="H2213" s="35"/>
      <c r="I2213" s="35"/>
      <c r="J2213" s="35"/>
      <c r="K2213" s="35"/>
      <c r="L2213" s="35"/>
      <c r="M2213" s="35"/>
    </row>
    <row r="2214" spans="2:13" x14ac:dyDescent="0.35">
      <c r="B2214" s="32"/>
      <c r="C2214" s="35"/>
      <c r="D2214" s="35"/>
      <c r="E2214" s="35"/>
      <c r="F2214" s="35"/>
      <c r="G2214" s="35"/>
      <c r="H2214" s="35"/>
      <c r="I2214" s="35"/>
      <c r="J2214" s="35"/>
      <c r="K2214" s="35"/>
      <c r="L2214" s="35"/>
      <c r="M2214" s="35"/>
    </row>
    <row r="2215" spans="2:13" x14ac:dyDescent="0.35">
      <c r="B2215" s="32"/>
      <c r="C2215" s="35"/>
      <c r="D2215" s="35"/>
      <c r="E2215" s="35"/>
      <c r="F2215" s="35"/>
      <c r="G2215" s="35"/>
      <c r="H2215" s="35"/>
      <c r="I2215" s="35"/>
      <c r="J2215" s="35"/>
      <c r="K2215" s="35"/>
      <c r="L2215" s="35"/>
      <c r="M2215" s="35"/>
    </row>
    <row r="2216" spans="2:13" x14ac:dyDescent="0.35">
      <c r="B2216" s="32"/>
      <c r="C2216" s="35"/>
      <c r="D2216" s="35"/>
      <c r="E2216" s="35"/>
      <c r="F2216" s="35"/>
      <c r="G2216" s="35"/>
      <c r="H2216" s="35"/>
      <c r="I2216" s="35"/>
      <c r="J2216" s="35"/>
      <c r="K2216" s="35"/>
      <c r="L2216" s="35"/>
      <c r="M2216" s="35"/>
    </row>
    <row r="2217" spans="2:13" x14ac:dyDescent="0.35">
      <c r="B2217" s="32"/>
      <c r="C2217" s="35"/>
      <c r="D2217" s="35"/>
      <c r="E2217" s="35"/>
      <c r="F2217" s="35"/>
      <c r="G2217" s="35"/>
      <c r="H2217" s="35"/>
      <c r="I2217" s="35"/>
      <c r="J2217" s="35"/>
      <c r="K2217" s="35"/>
      <c r="L2217" s="35"/>
      <c r="M2217" s="35"/>
    </row>
    <row r="2218" spans="2:13" x14ac:dyDescent="0.35">
      <c r="B2218" s="32"/>
      <c r="C2218" s="35"/>
      <c r="D2218" s="35"/>
      <c r="E2218" s="35"/>
      <c r="F2218" s="35"/>
      <c r="G2218" s="35"/>
      <c r="H2218" s="35"/>
      <c r="I2218" s="35"/>
      <c r="J2218" s="35"/>
      <c r="K2218" s="35"/>
      <c r="L2218" s="35"/>
      <c r="M2218" s="35"/>
    </row>
    <row r="2219" spans="2:13" x14ac:dyDescent="0.35">
      <c r="B2219" s="32"/>
      <c r="C2219" s="35"/>
      <c r="D2219" s="35"/>
      <c r="E2219" s="35"/>
      <c r="F2219" s="35"/>
      <c r="G2219" s="35"/>
      <c r="H2219" s="35"/>
      <c r="I2219" s="35"/>
      <c r="J2219" s="35"/>
      <c r="K2219" s="35"/>
      <c r="L2219" s="35"/>
      <c r="M2219" s="35"/>
    </row>
    <row r="2220" spans="2:13" x14ac:dyDescent="0.35">
      <c r="B2220" s="32"/>
      <c r="C2220" s="35"/>
      <c r="D2220" s="35"/>
      <c r="E2220" s="35"/>
      <c r="F2220" s="35"/>
      <c r="G2220" s="35"/>
      <c r="H2220" s="35"/>
      <c r="I2220" s="35"/>
      <c r="J2220" s="35"/>
      <c r="K2220" s="35"/>
      <c r="L2220" s="35"/>
      <c r="M2220" s="35"/>
    </row>
    <row r="2221" spans="2:13" x14ac:dyDescent="0.35">
      <c r="B2221" s="32"/>
      <c r="C2221" s="35"/>
      <c r="D2221" s="35"/>
      <c r="E2221" s="35"/>
      <c r="F2221" s="35"/>
      <c r="G2221" s="35"/>
      <c r="H2221" s="35"/>
      <c r="I2221" s="35"/>
      <c r="J2221" s="35"/>
      <c r="K2221" s="35"/>
      <c r="L2221" s="35"/>
      <c r="M2221" s="35"/>
    </row>
    <row r="2222" spans="2:13" x14ac:dyDescent="0.35">
      <c r="B2222" s="32"/>
      <c r="C2222" s="35"/>
      <c r="D2222" s="35"/>
      <c r="E2222" s="35"/>
      <c r="F2222" s="35"/>
      <c r="G2222" s="35"/>
      <c r="H2222" s="35"/>
      <c r="I2222" s="35"/>
      <c r="J2222" s="35"/>
      <c r="K2222" s="35"/>
      <c r="L2222" s="35"/>
      <c r="M2222" s="35"/>
    </row>
    <row r="2223" spans="2:13" x14ac:dyDescent="0.35">
      <c r="B2223" s="32"/>
      <c r="C2223" s="35"/>
      <c r="D2223" s="35"/>
      <c r="E2223" s="35"/>
      <c r="F2223" s="35"/>
      <c r="G2223" s="35"/>
      <c r="H2223" s="35"/>
      <c r="I2223" s="35"/>
      <c r="J2223" s="35"/>
      <c r="K2223" s="35"/>
      <c r="L2223" s="35"/>
      <c r="M2223" s="35"/>
    </row>
    <row r="2224" spans="2:13" x14ac:dyDescent="0.35">
      <c r="B2224" s="32"/>
      <c r="C2224" s="35"/>
      <c r="D2224" s="35"/>
      <c r="E2224" s="35"/>
      <c r="F2224" s="35"/>
      <c r="G2224" s="35"/>
      <c r="H2224" s="35"/>
      <c r="I2224" s="35"/>
      <c r="J2224" s="35"/>
      <c r="K2224" s="35"/>
      <c r="L2224" s="35"/>
      <c r="M2224" s="35"/>
    </row>
    <row r="2225" spans="2:13" x14ac:dyDescent="0.35">
      <c r="B2225" s="32"/>
      <c r="C2225" s="35"/>
      <c r="D2225" s="35"/>
      <c r="E2225" s="35"/>
      <c r="F2225" s="35"/>
      <c r="G2225" s="35"/>
      <c r="H2225" s="35"/>
      <c r="I2225" s="35"/>
      <c r="J2225" s="35"/>
      <c r="K2225" s="35"/>
      <c r="L2225" s="35"/>
      <c r="M2225" s="35"/>
    </row>
    <row r="2226" spans="2:13" x14ac:dyDescent="0.35">
      <c r="B2226" s="32"/>
      <c r="C2226" s="35"/>
      <c r="D2226" s="35"/>
      <c r="E2226" s="35"/>
      <c r="F2226" s="35"/>
      <c r="G2226" s="35"/>
      <c r="H2226" s="35"/>
      <c r="I2226" s="35"/>
      <c r="J2226" s="35"/>
      <c r="K2226" s="35"/>
      <c r="L2226" s="35"/>
      <c r="M2226" s="35"/>
    </row>
    <row r="2227" spans="2:13" x14ac:dyDescent="0.35">
      <c r="B2227" s="32"/>
      <c r="C2227" s="35"/>
      <c r="D2227" s="35"/>
      <c r="E2227" s="35"/>
      <c r="F2227" s="35"/>
      <c r="G2227" s="35"/>
      <c r="H2227" s="35"/>
      <c r="I2227" s="35"/>
      <c r="J2227" s="35"/>
      <c r="K2227" s="35"/>
      <c r="L2227" s="35"/>
      <c r="M2227" s="35"/>
    </row>
    <row r="2228" spans="2:13" x14ac:dyDescent="0.35">
      <c r="B2228" s="32"/>
      <c r="C2228" s="35"/>
      <c r="D2228" s="35"/>
      <c r="E2228" s="35"/>
      <c r="F2228" s="35"/>
      <c r="G2228" s="35"/>
      <c r="H2228" s="35"/>
      <c r="I2228" s="35"/>
      <c r="J2228" s="35"/>
      <c r="K2228" s="35"/>
      <c r="L2228" s="35"/>
      <c r="M2228" s="35"/>
    </row>
    <row r="2229" spans="2:13" x14ac:dyDescent="0.35">
      <c r="B2229" s="32"/>
      <c r="C2229" s="35"/>
      <c r="D2229" s="35"/>
      <c r="E2229" s="35"/>
      <c r="F2229" s="35"/>
      <c r="G2229" s="35"/>
      <c r="H2229" s="35"/>
      <c r="I2229" s="35"/>
      <c r="J2229" s="35"/>
      <c r="K2229" s="35"/>
      <c r="L2229" s="35"/>
      <c r="M2229" s="35"/>
    </row>
    <row r="2230" spans="2:13" x14ac:dyDescent="0.35">
      <c r="B2230" s="32"/>
      <c r="C2230" s="35"/>
      <c r="D2230" s="35"/>
      <c r="E2230" s="35"/>
      <c r="F2230" s="35"/>
      <c r="G2230" s="35"/>
      <c r="H2230" s="35"/>
      <c r="I2230" s="35"/>
      <c r="J2230" s="35"/>
      <c r="K2230" s="35"/>
      <c r="L2230" s="35"/>
      <c r="M2230" s="3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EBDF-FE34-45F2-81DB-4F1185819B8B}">
  <dimension ref="D2:I9"/>
  <sheetViews>
    <sheetView tabSelected="1" workbookViewId="0">
      <selection activeCell="D6" sqref="D6"/>
    </sheetView>
  </sheetViews>
  <sheetFormatPr defaultRowHeight="14.5" x14ac:dyDescent="0.35"/>
  <cols>
    <col min="4" max="4" width="62" customWidth="1"/>
    <col min="6" max="6" width="38.6328125" customWidth="1"/>
    <col min="7" max="7" width="35.6328125" style="116" customWidth="1"/>
    <col min="8" max="9" width="18.7265625" style="116" customWidth="1"/>
  </cols>
  <sheetData>
    <row r="2" spans="4:6" ht="15" thickBot="1" x14ac:dyDescent="0.4"/>
    <row r="3" spans="4:6" ht="29.5" thickBot="1" x14ac:dyDescent="0.4">
      <c r="D3" s="115" t="s">
        <v>42</v>
      </c>
      <c r="F3" s="117" t="s">
        <v>43</v>
      </c>
    </row>
    <row r="4" spans="4:6" ht="15" thickBot="1" x14ac:dyDescent="0.4"/>
    <row r="5" spans="4:6" ht="73" thickBot="1" x14ac:dyDescent="0.4">
      <c r="D5" s="114" t="s">
        <v>177</v>
      </c>
    </row>
    <row r="6" spans="4:6" ht="15" thickBot="1" x14ac:dyDescent="0.4"/>
    <row r="7" spans="4:6" ht="29.5" thickBot="1" x14ac:dyDescent="0.4">
      <c r="D7" s="118" t="s">
        <v>45</v>
      </c>
    </row>
    <row r="8" spans="4:6" ht="15" thickBot="1" x14ac:dyDescent="0.4"/>
    <row r="9" spans="4:6" ht="44" thickBot="1" x14ac:dyDescent="0.4">
      <c r="D9" s="118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CF7F-4CD5-454B-AE7B-19D4B4BE18E6}">
  <dimension ref="A1:J42"/>
  <sheetViews>
    <sheetView showGridLines="0" topLeftCell="A11" zoomScaleNormal="100" workbookViewId="0">
      <selection activeCell="J2" sqref="J2"/>
    </sheetView>
  </sheetViews>
  <sheetFormatPr defaultRowHeight="14.5" x14ac:dyDescent="0.35"/>
  <cols>
    <col min="1" max="1" width="36.54296875" bestFit="1" customWidth="1"/>
    <col min="2" max="2" width="14.453125" bestFit="1" customWidth="1"/>
    <col min="3" max="3" width="12.1796875" customWidth="1"/>
    <col min="6" max="6" width="47.36328125" bestFit="1" customWidth="1"/>
    <col min="7" max="7" width="18.54296875" customWidth="1"/>
    <col min="8" max="8" width="14.1796875" bestFit="1" customWidth="1"/>
    <col min="9" max="9" width="11.08984375" bestFit="1" customWidth="1"/>
    <col min="10" max="10" width="31" customWidth="1"/>
  </cols>
  <sheetData>
    <row r="1" spans="1:10" ht="15" thickBot="1" x14ac:dyDescent="0.4">
      <c r="A1" s="128" t="s">
        <v>123</v>
      </c>
      <c r="F1" s="128" t="s">
        <v>122</v>
      </c>
    </row>
    <row r="2" spans="1:10" ht="29" x14ac:dyDescent="0.35">
      <c r="A2" s="127" t="s">
        <v>121</v>
      </c>
      <c r="B2" s="126" t="s">
        <v>120</v>
      </c>
      <c r="C2" s="125" t="s">
        <v>119</v>
      </c>
      <c r="F2" s="127" t="s">
        <v>121</v>
      </c>
      <c r="G2" s="126" t="s">
        <v>120</v>
      </c>
      <c r="H2" s="125" t="s">
        <v>119</v>
      </c>
      <c r="J2" s="124" t="s">
        <v>118</v>
      </c>
    </row>
    <row r="3" spans="1:10" x14ac:dyDescent="0.35">
      <c r="A3" s="112" t="s">
        <v>117</v>
      </c>
      <c r="B3" s="123" t="s">
        <v>63</v>
      </c>
      <c r="C3" s="119" t="s">
        <v>46</v>
      </c>
      <c r="F3" s="112" t="s">
        <v>116</v>
      </c>
      <c r="G3" s="120" t="str">
        <f>B6</f>
        <v>AA</v>
      </c>
      <c r="H3" s="119" t="s">
        <v>46</v>
      </c>
    </row>
    <row r="4" spans="1:10" x14ac:dyDescent="0.35">
      <c r="A4" s="112" t="s">
        <v>115</v>
      </c>
      <c r="B4" s="121" t="s">
        <v>53</v>
      </c>
      <c r="C4" s="119" t="s">
        <v>46</v>
      </c>
      <c r="F4" s="112" t="s">
        <v>114</v>
      </c>
      <c r="G4" s="121" t="str">
        <f>B7</f>
        <v>A</v>
      </c>
      <c r="H4" s="119" t="s">
        <v>46</v>
      </c>
    </row>
    <row r="5" spans="1:10" x14ac:dyDescent="0.35">
      <c r="A5" s="112" t="s">
        <v>113</v>
      </c>
      <c r="B5" s="121" t="s">
        <v>53</v>
      </c>
      <c r="C5" s="119" t="s">
        <v>46</v>
      </c>
      <c r="F5" s="112" t="s">
        <v>112</v>
      </c>
      <c r="G5" s="121" t="s">
        <v>49</v>
      </c>
      <c r="H5" s="119" t="s">
        <v>46</v>
      </c>
    </row>
    <row r="6" spans="1:10" x14ac:dyDescent="0.35">
      <c r="A6" s="112" t="s">
        <v>111</v>
      </c>
      <c r="B6" s="120" t="s">
        <v>47</v>
      </c>
      <c r="C6" s="119" t="s">
        <v>46</v>
      </c>
      <c r="F6" s="112" t="s">
        <v>110</v>
      </c>
      <c r="G6" s="120" t="s">
        <v>47</v>
      </c>
      <c r="H6" s="119" t="s">
        <v>46</v>
      </c>
    </row>
    <row r="7" spans="1:10" x14ac:dyDescent="0.35">
      <c r="A7" s="112" t="s">
        <v>109</v>
      </c>
      <c r="B7" s="121" t="s">
        <v>53</v>
      </c>
      <c r="C7" s="119" t="s">
        <v>46</v>
      </c>
      <c r="F7" s="112" t="s">
        <v>108</v>
      </c>
      <c r="G7" s="120" t="str">
        <f>G6</f>
        <v>AA</v>
      </c>
      <c r="H7" s="119" t="s">
        <v>62</v>
      </c>
    </row>
    <row r="8" spans="1:10" x14ac:dyDescent="0.35">
      <c r="A8" s="112" t="s">
        <v>107</v>
      </c>
      <c r="B8" s="121" t="s">
        <v>53</v>
      </c>
      <c r="C8" s="119" t="s">
        <v>46</v>
      </c>
      <c r="F8" s="112" t="s">
        <v>106</v>
      </c>
      <c r="G8" s="120" t="s">
        <v>47</v>
      </c>
      <c r="H8" s="119" t="s">
        <v>46</v>
      </c>
    </row>
    <row r="9" spans="1:10" x14ac:dyDescent="0.35">
      <c r="A9" s="112" t="s">
        <v>105</v>
      </c>
      <c r="B9" s="120" t="s">
        <v>47</v>
      </c>
      <c r="C9" s="119" t="s">
        <v>46</v>
      </c>
      <c r="F9" s="112" t="s">
        <v>104</v>
      </c>
      <c r="G9" s="121" t="s">
        <v>51</v>
      </c>
      <c r="H9" s="119" t="s">
        <v>46</v>
      </c>
    </row>
    <row r="10" spans="1:10" x14ac:dyDescent="0.35">
      <c r="A10" s="112" t="s">
        <v>103</v>
      </c>
      <c r="B10" s="121" t="s">
        <v>53</v>
      </c>
      <c r="C10" s="119" t="s">
        <v>46</v>
      </c>
      <c r="F10" s="112" t="s">
        <v>102</v>
      </c>
      <c r="G10" s="121" t="s">
        <v>49</v>
      </c>
      <c r="H10" s="119" t="s">
        <v>46</v>
      </c>
    </row>
    <row r="11" spans="1:10" x14ac:dyDescent="0.35">
      <c r="A11" s="112" t="s">
        <v>101</v>
      </c>
      <c r="B11" s="121" t="s">
        <v>53</v>
      </c>
      <c r="C11" s="119" t="s">
        <v>46</v>
      </c>
      <c r="F11" s="112" t="s">
        <v>100</v>
      </c>
      <c r="G11" s="120" t="s">
        <v>47</v>
      </c>
      <c r="H11" s="119" t="s">
        <v>46</v>
      </c>
    </row>
    <row r="12" spans="1:10" x14ac:dyDescent="0.35">
      <c r="A12" s="112" t="s">
        <v>99</v>
      </c>
      <c r="B12" s="121" t="s">
        <v>49</v>
      </c>
      <c r="C12" s="119" t="s">
        <v>46</v>
      </c>
      <c r="F12" s="112" t="s">
        <v>98</v>
      </c>
      <c r="G12" s="121" t="s">
        <v>51</v>
      </c>
      <c r="H12" s="119" t="s">
        <v>46</v>
      </c>
    </row>
    <row r="13" spans="1:10" x14ac:dyDescent="0.35">
      <c r="A13" s="112" t="s">
        <v>97</v>
      </c>
      <c r="B13" s="121" t="s">
        <v>49</v>
      </c>
      <c r="C13" s="119" t="s">
        <v>46</v>
      </c>
      <c r="F13" s="112" t="s">
        <v>96</v>
      </c>
      <c r="G13" s="121" t="s">
        <v>53</v>
      </c>
      <c r="H13" s="119" t="s">
        <v>46</v>
      </c>
    </row>
    <row r="14" spans="1:10" x14ac:dyDescent="0.35">
      <c r="A14" s="112" t="s">
        <v>95</v>
      </c>
      <c r="B14" s="123" t="s">
        <v>63</v>
      </c>
      <c r="C14" s="119" t="s">
        <v>46</v>
      </c>
      <c r="F14" s="112" t="s">
        <v>94</v>
      </c>
      <c r="G14" s="121" t="s">
        <v>51</v>
      </c>
      <c r="H14" s="119" t="s">
        <v>62</v>
      </c>
    </row>
    <row r="15" spans="1:10" x14ac:dyDescent="0.35">
      <c r="A15" s="112" t="s">
        <v>93</v>
      </c>
      <c r="B15" s="121" t="s">
        <v>53</v>
      </c>
      <c r="C15" s="119" t="s">
        <v>46</v>
      </c>
      <c r="F15" s="112" t="s">
        <v>92</v>
      </c>
      <c r="G15" s="121" t="s">
        <v>63</v>
      </c>
      <c r="H15" s="119" t="s">
        <v>46</v>
      </c>
    </row>
    <row r="16" spans="1:10" x14ac:dyDescent="0.35">
      <c r="A16" s="112" t="s">
        <v>91</v>
      </c>
      <c r="B16" s="123" t="s">
        <v>90</v>
      </c>
      <c r="C16" s="119" t="s">
        <v>62</v>
      </c>
      <c r="F16" s="112" t="s">
        <v>89</v>
      </c>
      <c r="G16" s="121" t="s">
        <v>53</v>
      </c>
      <c r="H16" s="119" t="s">
        <v>46</v>
      </c>
    </row>
    <row r="17" spans="1:8" x14ac:dyDescent="0.35">
      <c r="A17" s="112" t="s">
        <v>88</v>
      </c>
      <c r="B17" s="121" t="s">
        <v>51</v>
      </c>
      <c r="C17" s="119" t="s">
        <v>46</v>
      </c>
      <c r="F17" s="112" t="s">
        <v>87</v>
      </c>
      <c r="G17" s="121" t="str">
        <f>G16</f>
        <v>A</v>
      </c>
      <c r="H17" s="119" t="s">
        <v>46</v>
      </c>
    </row>
    <row r="18" spans="1:8" x14ac:dyDescent="0.35">
      <c r="A18" s="112" t="s">
        <v>86</v>
      </c>
      <c r="B18" s="121" t="s">
        <v>49</v>
      </c>
      <c r="C18" s="119" t="s">
        <v>46</v>
      </c>
      <c r="F18" s="112" t="s">
        <v>85</v>
      </c>
      <c r="G18" s="121" t="s">
        <v>53</v>
      </c>
      <c r="H18" s="119" t="s">
        <v>46</v>
      </c>
    </row>
    <row r="19" spans="1:8" x14ac:dyDescent="0.35">
      <c r="A19" s="112" t="s">
        <v>84</v>
      </c>
      <c r="B19" s="121" t="s">
        <v>53</v>
      </c>
      <c r="C19" s="119" t="s">
        <v>46</v>
      </c>
      <c r="F19" s="112" t="s">
        <v>83</v>
      </c>
      <c r="G19" s="121" t="s">
        <v>53</v>
      </c>
      <c r="H19" s="119" t="s">
        <v>46</v>
      </c>
    </row>
    <row r="20" spans="1:8" x14ac:dyDescent="0.35">
      <c r="A20" s="112" t="s">
        <v>82</v>
      </c>
      <c r="B20" s="120" t="s">
        <v>47</v>
      </c>
      <c r="C20" s="119" t="s">
        <v>46</v>
      </c>
      <c r="F20" s="112" t="s">
        <v>81</v>
      </c>
      <c r="G20" s="121" t="s">
        <v>53</v>
      </c>
      <c r="H20" s="119" t="s">
        <v>46</v>
      </c>
    </row>
    <row r="21" spans="1:8" x14ac:dyDescent="0.35">
      <c r="A21" s="112" t="s">
        <v>80</v>
      </c>
      <c r="B21" s="120" t="s">
        <v>47</v>
      </c>
      <c r="C21" s="119" t="s">
        <v>46</v>
      </c>
      <c r="F21" s="112" t="s">
        <v>79</v>
      </c>
      <c r="G21" s="121" t="s">
        <v>53</v>
      </c>
      <c r="H21" s="119" t="s">
        <v>46</v>
      </c>
    </row>
    <row r="22" spans="1:8" x14ac:dyDescent="0.35">
      <c r="A22" s="112" t="s">
        <v>78</v>
      </c>
      <c r="B22" s="121" t="s">
        <v>53</v>
      </c>
      <c r="C22" s="119" t="s">
        <v>46</v>
      </c>
      <c r="F22" s="112" t="s">
        <v>77</v>
      </c>
      <c r="G22" s="121" t="s">
        <v>49</v>
      </c>
      <c r="H22" s="119" t="s">
        <v>46</v>
      </c>
    </row>
    <row r="23" spans="1:8" x14ac:dyDescent="0.35">
      <c r="A23" s="112" t="s">
        <v>76</v>
      </c>
      <c r="B23" s="121" t="s">
        <v>49</v>
      </c>
      <c r="C23" s="119" t="s">
        <v>46</v>
      </c>
      <c r="F23" s="112" t="s">
        <v>75</v>
      </c>
      <c r="G23" s="121" t="s">
        <v>51</v>
      </c>
      <c r="H23" s="119" t="s">
        <v>46</v>
      </c>
    </row>
    <row r="24" spans="1:8" x14ac:dyDescent="0.35">
      <c r="A24" s="112" t="s">
        <v>74</v>
      </c>
      <c r="B24" s="123" t="s">
        <v>63</v>
      </c>
      <c r="C24" s="119" t="s">
        <v>46</v>
      </c>
      <c r="F24" s="112" t="s">
        <v>73</v>
      </c>
      <c r="G24" s="121" t="s">
        <v>49</v>
      </c>
      <c r="H24" s="119" t="s">
        <v>46</v>
      </c>
    </row>
    <row r="25" spans="1:8" x14ac:dyDescent="0.35">
      <c r="A25" s="112" t="s">
        <v>72</v>
      </c>
      <c r="B25" s="121" t="s">
        <v>49</v>
      </c>
      <c r="C25" s="119" t="s">
        <v>46</v>
      </c>
      <c r="F25" s="112" t="s">
        <v>71</v>
      </c>
      <c r="G25" s="121" t="s">
        <v>53</v>
      </c>
      <c r="H25" s="119" t="s">
        <v>46</v>
      </c>
    </row>
    <row r="26" spans="1:8" x14ac:dyDescent="0.35">
      <c r="A26" s="112" t="s">
        <v>70</v>
      </c>
      <c r="B26" s="121" t="s">
        <v>53</v>
      </c>
      <c r="C26" s="119" t="s">
        <v>46</v>
      </c>
      <c r="F26" s="112" t="s">
        <v>69</v>
      </c>
      <c r="G26" s="121" t="s">
        <v>51</v>
      </c>
      <c r="H26" s="119" t="s">
        <v>62</v>
      </c>
    </row>
    <row r="27" spans="1:8" x14ac:dyDescent="0.35">
      <c r="F27" s="112" t="s">
        <v>68</v>
      </c>
      <c r="G27" s="121" t="s">
        <v>51</v>
      </c>
      <c r="H27" s="119" t="s">
        <v>46</v>
      </c>
    </row>
    <row r="28" spans="1:8" x14ac:dyDescent="0.35">
      <c r="F28" s="112" t="s">
        <v>67</v>
      </c>
      <c r="G28" s="120" t="s">
        <v>47</v>
      </c>
      <c r="H28" s="119" t="s">
        <v>46</v>
      </c>
    </row>
    <row r="29" spans="1:8" x14ac:dyDescent="0.35">
      <c r="F29" s="112" t="s">
        <v>66</v>
      </c>
      <c r="G29" s="120" t="s">
        <v>47</v>
      </c>
      <c r="H29" s="119" t="s">
        <v>62</v>
      </c>
    </row>
    <row r="30" spans="1:8" x14ac:dyDescent="0.35">
      <c r="F30" s="112" t="s">
        <v>65</v>
      </c>
      <c r="G30" s="121" t="s">
        <v>53</v>
      </c>
      <c r="H30" s="119" t="s">
        <v>46</v>
      </c>
    </row>
    <row r="31" spans="1:8" x14ac:dyDescent="0.35">
      <c r="F31" s="112" t="s">
        <v>64</v>
      </c>
      <c r="G31" s="123" t="s">
        <v>63</v>
      </c>
      <c r="H31" s="119" t="s">
        <v>62</v>
      </c>
    </row>
    <row r="32" spans="1:8" x14ac:dyDescent="0.35">
      <c r="F32" s="112" t="s">
        <v>61</v>
      </c>
      <c r="G32" s="122" t="s">
        <v>47</v>
      </c>
      <c r="H32" s="119" t="s">
        <v>46</v>
      </c>
    </row>
    <row r="33" spans="6:8" x14ac:dyDescent="0.35">
      <c r="F33" s="112" t="s">
        <v>60</v>
      </c>
      <c r="G33" s="120" t="s">
        <v>47</v>
      </c>
      <c r="H33" s="119" t="s">
        <v>46</v>
      </c>
    </row>
    <row r="34" spans="6:8" x14ac:dyDescent="0.35">
      <c r="F34" s="112" t="s">
        <v>59</v>
      </c>
      <c r="G34" s="121" t="s">
        <v>53</v>
      </c>
      <c r="H34" s="119" t="s">
        <v>46</v>
      </c>
    </row>
    <row r="35" spans="6:8" x14ac:dyDescent="0.35">
      <c r="F35" s="112" t="s">
        <v>58</v>
      </c>
      <c r="G35" s="121" t="s">
        <v>49</v>
      </c>
      <c r="H35" s="119" t="s">
        <v>46</v>
      </c>
    </row>
    <row r="36" spans="6:8" x14ac:dyDescent="0.35">
      <c r="F36" s="112" t="s">
        <v>57</v>
      </c>
      <c r="G36" s="121" t="s">
        <v>53</v>
      </c>
      <c r="H36" s="119" t="s">
        <v>46</v>
      </c>
    </row>
    <row r="37" spans="6:8" x14ac:dyDescent="0.35">
      <c r="F37" s="112" t="s">
        <v>56</v>
      </c>
      <c r="G37" s="121" t="s">
        <v>49</v>
      </c>
      <c r="H37" s="119" t="s">
        <v>46</v>
      </c>
    </row>
    <row r="38" spans="6:8" x14ac:dyDescent="0.35">
      <c r="F38" s="112" t="s">
        <v>55</v>
      </c>
      <c r="G38" s="120" t="s">
        <v>47</v>
      </c>
      <c r="H38" s="119" t="s">
        <v>46</v>
      </c>
    </row>
    <row r="39" spans="6:8" x14ac:dyDescent="0.35">
      <c r="F39" s="112" t="s">
        <v>54</v>
      </c>
      <c r="G39" s="121" t="s">
        <v>53</v>
      </c>
      <c r="H39" s="119" t="s">
        <v>46</v>
      </c>
    </row>
    <row r="40" spans="6:8" x14ac:dyDescent="0.35">
      <c r="F40" s="112" t="s">
        <v>52</v>
      </c>
      <c r="G40" s="121" t="s">
        <v>51</v>
      </c>
      <c r="H40" s="119" t="s">
        <v>46</v>
      </c>
    </row>
    <row r="41" spans="6:8" x14ac:dyDescent="0.35">
      <c r="F41" s="112" t="s">
        <v>50</v>
      </c>
      <c r="G41" s="121" t="s">
        <v>49</v>
      </c>
      <c r="H41" s="119" t="s">
        <v>46</v>
      </c>
    </row>
    <row r="42" spans="6:8" x14ac:dyDescent="0.35">
      <c r="F42" s="112" t="s">
        <v>48</v>
      </c>
      <c r="G42" s="120" t="s">
        <v>47</v>
      </c>
      <c r="H42" s="1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46EF-7B59-480C-A8C5-BB78169341AE}">
  <dimension ref="A1:D33"/>
  <sheetViews>
    <sheetView showGridLines="0" workbookViewId="0">
      <selection activeCell="F30" sqref="F30"/>
    </sheetView>
  </sheetViews>
  <sheetFormatPr defaultRowHeight="14.5" x14ac:dyDescent="0.35"/>
  <cols>
    <col min="1" max="1" width="41.90625" customWidth="1"/>
    <col min="2" max="2" width="17.08984375" customWidth="1"/>
    <col min="3" max="3" width="28.36328125" customWidth="1"/>
    <col min="4" max="4" width="18.90625" customWidth="1"/>
  </cols>
  <sheetData>
    <row r="1" spans="1:4" x14ac:dyDescent="0.35">
      <c r="A1" s="137" t="s">
        <v>176</v>
      </c>
      <c r="B1" s="136" t="s">
        <v>159</v>
      </c>
      <c r="C1" s="136" t="s">
        <v>141</v>
      </c>
      <c r="D1" s="135" t="s">
        <v>140</v>
      </c>
    </row>
    <row r="2" spans="1:4" x14ac:dyDescent="0.35">
      <c r="A2" s="139" t="s">
        <v>175</v>
      </c>
      <c r="B2" s="133">
        <v>7.34</v>
      </c>
      <c r="C2" s="133" t="s">
        <v>164</v>
      </c>
      <c r="D2" s="132" t="s">
        <v>164</v>
      </c>
    </row>
    <row r="3" spans="1:4" x14ac:dyDescent="0.35">
      <c r="A3" s="139" t="s">
        <v>174</v>
      </c>
      <c r="B3" s="133">
        <v>4.2699999999999996</v>
      </c>
      <c r="C3" s="133" t="s">
        <v>164</v>
      </c>
      <c r="D3" s="132" t="s">
        <v>164</v>
      </c>
    </row>
    <row r="4" spans="1:4" x14ac:dyDescent="0.35">
      <c r="A4" s="139" t="s">
        <v>173</v>
      </c>
      <c r="B4" s="133">
        <v>3.81</v>
      </c>
      <c r="C4" s="133" t="s">
        <v>164</v>
      </c>
      <c r="D4" s="132" t="s">
        <v>164</v>
      </c>
    </row>
    <row r="5" spans="1:4" x14ac:dyDescent="0.35">
      <c r="A5" s="139" t="s">
        <v>172</v>
      </c>
      <c r="B5" s="133">
        <v>3.52</v>
      </c>
      <c r="C5" s="133" t="s">
        <v>164</v>
      </c>
      <c r="D5" s="132" t="s">
        <v>164</v>
      </c>
    </row>
    <row r="6" spans="1:4" x14ac:dyDescent="0.35">
      <c r="A6" s="139" t="s">
        <v>171</v>
      </c>
      <c r="B6" s="133">
        <v>3.26</v>
      </c>
      <c r="C6" s="133" t="s">
        <v>164</v>
      </c>
      <c r="D6" s="132" t="s">
        <v>164</v>
      </c>
    </row>
    <row r="7" spans="1:4" x14ac:dyDescent="0.35">
      <c r="A7" s="139" t="s">
        <v>170</v>
      </c>
      <c r="B7" s="133">
        <v>3.19</v>
      </c>
      <c r="C7" s="133" t="s">
        <v>164</v>
      </c>
      <c r="D7" s="132" t="s">
        <v>164</v>
      </c>
    </row>
    <row r="8" spans="1:4" x14ac:dyDescent="0.35">
      <c r="A8" s="139" t="s">
        <v>169</v>
      </c>
      <c r="B8" s="133">
        <v>2.87</v>
      </c>
      <c r="C8" s="133" t="s">
        <v>164</v>
      </c>
      <c r="D8" s="132" t="s">
        <v>164</v>
      </c>
    </row>
    <row r="9" spans="1:4" x14ac:dyDescent="0.35">
      <c r="A9" s="139" t="s">
        <v>168</v>
      </c>
      <c r="B9" s="133">
        <v>2.38</v>
      </c>
      <c r="C9" s="133" t="s">
        <v>164</v>
      </c>
      <c r="D9" s="132" t="s">
        <v>164</v>
      </c>
    </row>
    <row r="10" spans="1:4" x14ac:dyDescent="0.35">
      <c r="A10" s="139" t="s">
        <v>167</v>
      </c>
      <c r="B10" s="133">
        <v>2.2999999999999998</v>
      </c>
      <c r="C10" s="133" t="s">
        <v>164</v>
      </c>
      <c r="D10" s="132" t="s">
        <v>164</v>
      </c>
    </row>
    <row r="11" spans="1:4" ht="29" x14ac:dyDescent="0.35">
      <c r="A11" s="138" t="s">
        <v>166</v>
      </c>
      <c r="B11" s="130">
        <v>2.2200000000000002</v>
      </c>
      <c r="C11" s="142" t="s">
        <v>165</v>
      </c>
      <c r="D11" s="129" t="s">
        <v>164</v>
      </c>
    </row>
    <row r="13" spans="1:4" x14ac:dyDescent="0.35">
      <c r="A13" t="s">
        <v>163</v>
      </c>
    </row>
    <row r="14" spans="1:4" x14ac:dyDescent="0.35">
      <c r="A14" s="141" t="s">
        <v>162</v>
      </c>
    </row>
    <row r="18" spans="1:4" ht="17.5" x14ac:dyDescent="0.35">
      <c r="A18" s="140" t="s">
        <v>161</v>
      </c>
    </row>
    <row r="20" spans="1:4" x14ac:dyDescent="0.35">
      <c r="A20" s="137" t="s">
        <v>160</v>
      </c>
      <c r="B20" s="136" t="s">
        <v>159</v>
      </c>
      <c r="C20" s="135" t="s">
        <v>158</v>
      </c>
    </row>
    <row r="21" spans="1:4" x14ac:dyDescent="0.35">
      <c r="A21" s="139" t="s">
        <v>157</v>
      </c>
      <c r="B21" s="133">
        <v>34.770000000000003</v>
      </c>
      <c r="C21" s="132" t="s">
        <v>156</v>
      </c>
    </row>
    <row r="22" spans="1:4" ht="29" x14ac:dyDescent="0.35">
      <c r="A22" s="139" t="s">
        <v>155</v>
      </c>
      <c r="B22" s="133">
        <v>11.42</v>
      </c>
      <c r="C22" s="132" t="s">
        <v>154</v>
      </c>
    </row>
    <row r="23" spans="1:4" ht="29" x14ac:dyDescent="0.35">
      <c r="A23" s="139" t="s">
        <v>153</v>
      </c>
      <c r="B23" s="133">
        <v>11.08</v>
      </c>
      <c r="C23" s="132" t="s">
        <v>152</v>
      </c>
    </row>
    <row r="24" spans="1:4" ht="29" x14ac:dyDescent="0.35">
      <c r="A24" s="139" t="s">
        <v>151</v>
      </c>
      <c r="B24" s="133">
        <v>6.06</v>
      </c>
      <c r="C24" s="132" t="s">
        <v>150</v>
      </c>
    </row>
    <row r="25" spans="1:4" x14ac:dyDescent="0.35">
      <c r="A25" s="139" t="s">
        <v>149</v>
      </c>
      <c r="B25" s="133">
        <v>5.79</v>
      </c>
      <c r="C25" s="132" t="s">
        <v>148</v>
      </c>
    </row>
    <row r="26" spans="1:4" ht="29" x14ac:dyDescent="0.35">
      <c r="A26" s="139" t="s">
        <v>147</v>
      </c>
      <c r="B26" s="133">
        <v>4.95</v>
      </c>
      <c r="C26" s="132" t="s">
        <v>146</v>
      </c>
    </row>
    <row r="27" spans="1:4" ht="29" x14ac:dyDescent="0.35">
      <c r="A27" s="138" t="s">
        <v>145</v>
      </c>
      <c r="B27" s="130" t="s">
        <v>144</v>
      </c>
      <c r="C27" s="129" t="s">
        <v>143</v>
      </c>
    </row>
    <row r="29" spans="1:4" x14ac:dyDescent="0.35">
      <c r="A29" s="137" t="s">
        <v>142</v>
      </c>
      <c r="B29" s="136" t="s">
        <v>141</v>
      </c>
      <c r="C29" s="136" t="s">
        <v>140</v>
      </c>
      <c r="D29" s="135" t="s">
        <v>139</v>
      </c>
    </row>
    <row r="30" spans="1:4" ht="29" x14ac:dyDescent="0.35">
      <c r="A30" s="134" t="s">
        <v>138</v>
      </c>
      <c r="B30" s="133" t="s">
        <v>137</v>
      </c>
      <c r="C30" s="133" t="s">
        <v>136</v>
      </c>
      <c r="D30" s="132" t="s">
        <v>135</v>
      </c>
    </row>
    <row r="31" spans="1:4" ht="29" x14ac:dyDescent="0.35">
      <c r="A31" s="134" t="s">
        <v>134</v>
      </c>
      <c r="B31" s="133" t="s">
        <v>133</v>
      </c>
      <c r="C31" s="133" t="s">
        <v>132</v>
      </c>
      <c r="D31" s="132" t="s">
        <v>131</v>
      </c>
    </row>
    <row r="32" spans="1:4" ht="29" x14ac:dyDescent="0.35">
      <c r="A32" s="134" t="s">
        <v>130</v>
      </c>
      <c r="B32" s="133" t="s">
        <v>129</v>
      </c>
      <c r="C32" s="133" t="s">
        <v>128</v>
      </c>
      <c r="D32" s="132" t="s">
        <v>128</v>
      </c>
    </row>
    <row r="33" spans="1:4" ht="29" x14ac:dyDescent="0.35">
      <c r="A33" s="131" t="s">
        <v>127</v>
      </c>
      <c r="B33" s="130" t="s">
        <v>126</v>
      </c>
      <c r="C33" s="130" t="s">
        <v>125</v>
      </c>
      <c r="D33" s="129" t="s">
        <v>124</v>
      </c>
    </row>
  </sheetData>
  <autoFilter ref="A13:A14" xr:uid="{76710AF7-5C3C-456C-94B3-99114C5BA030}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1</vt:lpstr>
      <vt:lpstr>Portfolio 2</vt:lpstr>
      <vt:lpstr>Analysis</vt:lpstr>
      <vt:lpstr>ESG Scores</vt:lpstr>
      <vt:lpstr>Holding Weights &amp; 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Pandkar</dc:creator>
  <cp:lastModifiedBy>Parth Pandkar</cp:lastModifiedBy>
  <dcterms:created xsi:type="dcterms:W3CDTF">2025-04-26T07:18:59Z</dcterms:created>
  <dcterms:modified xsi:type="dcterms:W3CDTF">2025-04-27T17:11:27Z</dcterms:modified>
</cp:coreProperties>
</file>